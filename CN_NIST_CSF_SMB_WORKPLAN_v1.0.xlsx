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Documents\Personal\Freelancework\Cyber Native\Workplans\US NIST SMB\"/>
    </mc:Choice>
  </mc:AlternateContent>
  <xr:revisionPtr revIDLastSave="0" documentId="13_ncr:1_{EA32D2B7-7B37-4FF5-92F7-F969D0FB2CA8}" xr6:coauthVersionLast="47" xr6:coauthVersionMax="47" xr10:uidLastSave="{00000000-0000-0000-0000-000000000000}"/>
  <bookViews>
    <workbookView xWindow="-98" yWindow="-98" windowWidth="21795" windowHeight="13875" activeTab="1" xr2:uid="{00000000-000D-0000-FFFF-FFFF00000000}"/>
  </bookViews>
  <sheets>
    <sheet name="!! LICENSE - READ FIRST !!" sheetId="1" r:id="rId1"/>
    <sheet name="Cover" sheetId="2" r:id="rId2"/>
    <sheet name="Instructions" sheetId="3" r:id="rId3"/>
    <sheet name="Business and Technology Context" sheetId="4" r:id="rId4"/>
    <sheet name="Controls Assessment" sheetId="5" r:id="rId5"/>
    <sheet name="Dashboard" sheetId="6" r:id="rId6"/>
    <sheet name="Assessment Detail Capture" sheetId="7" r:id="rId7"/>
    <sheet name="Remediation Plan" sheetId="8" r:id="rId8"/>
    <sheet name="RAID Log" sheetId="9" r:id="rId9"/>
    <sheet name="Risk Register" sheetId="10" r:id="rId10"/>
    <sheet name="Stakeholder Register" sheetId="11" r:id="rId11"/>
    <sheet name="Remediation Index" sheetId="12" r:id="rId12"/>
  </sheets>
  <definedNames>
    <definedName name="_xlnm._FilterDatabase" localSheetId="4" hidden="1">'Controls Assessment'!$A$1:$V$39</definedName>
    <definedName name="_xlnm._FilterDatabase" localSheetId="8" hidden="1">'RAID Log'!$B$5:$Q$23</definedName>
    <definedName name="_xlnm._FilterDatabase" localSheetId="9" hidden="1">'Risk Register'!$B$5:$Q$18</definedName>
    <definedName name="_xlnm._FilterDatabase" localSheetId="10" hidden="1">'Stakeholder Register'!$B$5:$M$18</definedName>
  </definedNames>
  <calcPr calcId="191029"/>
</workbook>
</file>

<file path=xl/calcChain.xml><?xml version="1.0" encoding="utf-8"?>
<calcChain xmlns="http://schemas.openxmlformats.org/spreadsheetml/2006/main">
  <c r="M10" i="10" l="1"/>
  <c r="G43" i="12"/>
  <c r="F43" i="12"/>
  <c r="E43" i="12"/>
  <c r="E48" i="8" s="1"/>
  <c r="D43" i="12"/>
  <c r="D48" i="8" s="1"/>
  <c r="C43" i="12"/>
  <c r="B43" i="12"/>
  <c r="F42" i="12"/>
  <c r="D42" i="12"/>
  <c r="C42" i="12"/>
  <c r="B42" i="12"/>
  <c r="F41" i="12"/>
  <c r="D41" i="12"/>
  <c r="C41" i="12"/>
  <c r="B41" i="12"/>
  <c r="F40" i="12"/>
  <c r="D40" i="12"/>
  <c r="C40" i="12"/>
  <c r="B40" i="12"/>
  <c r="F39" i="12"/>
  <c r="D39" i="12"/>
  <c r="D44" i="8" s="1"/>
  <c r="C39" i="12"/>
  <c r="C44" i="8" s="1"/>
  <c r="B39" i="12"/>
  <c r="B44" i="8" s="1"/>
  <c r="G38" i="12"/>
  <c r="F38" i="12"/>
  <c r="D38" i="12"/>
  <c r="C38" i="12"/>
  <c r="B38" i="12"/>
  <c r="G37" i="12"/>
  <c r="F37" i="12"/>
  <c r="E37" i="12"/>
  <c r="E42" i="8" s="1"/>
  <c r="D37" i="12"/>
  <c r="C37" i="12"/>
  <c r="B37" i="12"/>
  <c r="G36" i="12"/>
  <c r="F36" i="12"/>
  <c r="D36" i="12"/>
  <c r="C36" i="12"/>
  <c r="B36" i="12"/>
  <c r="F35" i="12"/>
  <c r="D35" i="12"/>
  <c r="C35" i="12"/>
  <c r="B35" i="12"/>
  <c r="F34" i="12"/>
  <c r="D34" i="12"/>
  <c r="C34" i="12"/>
  <c r="B34" i="12"/>
  <c r="F33" i="12"/>
  <c r="D33" i="12"/>
  <c r="D38" i="8" s="1"/>
  <c r="C33" i="12"/>
  <c r="C38" i="8" s="1"/>
  <c r="B33" i="12"/>
  <c r="B38" i="8" s="1"/>
  <c r="G32" i="12"/>
  <c r="F32" i="12"/>
  <c r="D32" i="12"/>
  <c r="C32" i="12"/>
  <c r="B32" i="12"/>
  <c r="G31" i="12"/>
  <c r="F31" i="12"/>
  <c r="E31" i="12"/>
  <c r="E36" i="8" s="1"/>
  <c r="D31" i="12"/>
  <c r="C31" i="12"/>
  <c r="B31" i="12"/>
  <c r="G30" i="12"/>
  <c r="F30" i="12"/>
  <c r="D30" i="12"/>
  <c r="C30" i="12"/>
  <c r="B30" i="12"/>
  <c r="F29" i="12"/>
  <c r="D29" i="12"/>
  <c r="C29" i="12"/>
  <c r="B29" i="12"/>
  <c r="F28" i="12"/>
  <c r="D28" i="12"/>
  <c r="C28" i="12"/>
  <c r="B28" i="12"/>
  <c r="F27" i="12"/>
  <c r="D27" i="12"/>
  <c r="D32" i="8" s="1"/>
  <c r="C27" i="12"/>
  <c r="C32" i="8" s="1"/>
  <c r="B27" i="12"/>
  <c r="B32" i="8" s="1"/>
  <c r="G26" i="12"/>
  <c r="F26" i="12"/>
  <c r="D26" i="12"/>
  <c r="C26" i="12"/>
  <c r="B26" i="12"/>
  <c r="G25" i="12"/>
  <c r="F25" i="12"/>
  <c r="E25" i="12"/>
  <c r="E30" i="8" s="1"/>
  <c r="D25" i="12"/>
  <c r="C25" i="12"/>
  <c r="B25" i="12"/>
  <c r="B30" i="8" s="1"/>
  <c r="G24" i="12"/>
  <c r="F24" i="12"/>
  <c r="D24" i="12"/>
  <c r="C24" i="12"/>
  <c r="B24" i="12"/>
  <c r="F23" i="12"/>
  <c r="D23" i="12"/>
  <c r="C23" i="12"/>
  <c r="B23" i="12"/>
  <c r="F22" i="12"/>
  <c r="D22" i="12"/>
  <c r="C22" i="12"/>
  <c r="B22" i="12"/>
  <c r="F21" i="12"/>
  <c r="D21" i="12"/>
  <c r="D26" i="8" s="1"/>
  <c r="C21" i="12"/>
  <c r="C26" i="8" s="1"/>
  <c r="B21" i="12"/>
  <c r="B26" i="8" s="1"/>
  <c r="G20" i="12"/>
  <c r="F20" i="12"/>
  <c r="D20" i="12"/>
  <c r="C20" i="12"/>
  <c r="B20" i="12"/>
  <c r="G19" i="12"/>
  <c r="F19" i="12"/>
  <c r="E19" i="12"/>
  <c r="E24" i="8" s="1"/>
  <c r="D19" i="12"/>
  <c r="C19" i="12"/>
  <c r="B19" i="12"/>
  <c r="G18" i="12"/>
  <c r="F18" i="12"/>
  <c r="D18" i="12"/>
  <c r="C18" i="12"/>
  <c r="B18" i="12"/>
  <c r="F17" i="12"/>
  <c r="D17" i="12"/>
  <c r="C17" i="12"/>
  <c r="B17" i="12"/>
  <c r="F16" i="12"/>
  <c r="D16" i="12"/>
  <c r="C16" i="12"/>
  <c r="B16" i="12"/>
  <c r="F15" i="12"/>
  <c r="D15" i="12"/>
  <c r="D20" i="8" s="1"/>
  <c r="C15" i="12"/>
  <c r="C20" i="8" s="1"/>
  <c r="B15" i="12"/>
  <c r="B20" i="8" s="1"/>
  <c r="G14" i="12"/>
  <c r="F14" i="12"/>
  <c r="D14" i="12"/>
  <c r="C14" i="12"/>
  <c r="B14" i="12"/>
  <c r="G13" i="12"/>
  <c r="F13" i="12"/>
  <c r="E13" i="12"/>
  <c r="E18" i="8" s="1"/>
  <c r="D13" i="12"/>
  <c r="C13" i="12"/>
  <c r="B13" i="12"/>
  <c r="G12" i="12"/>
  <c r="F12" i="12"/>
  <c r="D12" i="12"/>
  <c r="C12" i="12"/>
  <c r="B12" i="12"/>
  <c r="F11" i="12"/>
  <c r="D11" i="12"/>
  <c r="C11" i="12"/>
  <c r="B11" i="12"/>
  <c r="F10" i="12"/>
  <c r="D10" i="12"/>
  <c r="C10" i="12"/>
  <c r="B10" i="12"/>
  <c r="F9" i="12"/>
  <c r="D9" i="12"/>
  <c r="D14" i="8" s="1"/>
  <c r="C9" i="12"/>
  <c r="C14" i="8" s="1"/>
  <c r="B9" i="12"/>
  <c r="B14" i="8" s="1"/>
  <c r="G8" i="12"/>
  <c r="F8" i="12"/>
  <c r="D8" i="12"/>
  <c r="C8" i="12"/>
  <c r="B8" i="12"/>
  <c r="G7" i="12"/>
  <c r="F7" i="12"/>
  <c r="E7" i="12"/>
  <c r="E12" i="8" s="1"/>
  <c r="D7" i="12"/>
  <c r="C7" i="12"/>
  <c r="B7" i="12"/>
  <c r="G6" i="12"/>
  <c r="F6" i="12"/>
  <c r="D6" i="12"/>
  <c r="C6" i="12"/>
  <c r="B6" i="12"/>
  <c r="I10" i="10"/>
  <c r="M9" i="10"/>
  <c r="I9" i="10"/>
  <c r="M8" i="10"/>
  <c r="I8" i="10"/>
  <c r="M7" i="10"/>
  <c r="I7" i="10"/>
  <c r="L8" i="9"/>
  <c r="L7" i="9"/>
  <c r="C48" i="8"/>
  <c r="B48" i="8"/>
  <c r="D47" i="8"/>
  <c r="C47" i="8"/>
  <c r="B47" i="8"/>
  <c r="D46" i="8"/>
  <c r="C46" i="8"/>
  <c r="B46" i="8"/>
  <c r="D45" i="8"/>
  <c r="C45" i="8"/>
  <c r="B45" i="8"/>
  <c r="D43" i="8"/>
  <c r="C43" i="8"/>
  <c r="B43" i="8"/>
  <c r="D42" i="8"/>
  <c r="C42" i="8"/>
  <c r="B42" i="8"/>
  <c r="D41" i="8"/>
  <c r="C41" i="8"/>
  <c r="B41" i="8"/>
  <c r="D40" i="8"/>
  <c r="C40" i="8"/>
  <c r="B40" i="8"/>
  <c r="D39" i="8"/>
  <c r="C39" i="8"/>
  <c r="B39" i="8"/>
  <c r="D37" i="8"/>
  <c r="C37" i="8"/>
  <c r="B37" i="8"/>
  <c r="D36" i="8"/>
  <c r="C36" i="8"/>
  <c r="B36" i="8"/>
  <c r="D35" i="8"/>
  <c r="C35" i="8"/>
  <c r="B35" i="8"/>
  <c r="D34" i="8"/>
  <c r="C34" i="8"/>
  <c r="B34" i="8"/>
  <c r="D33" i="8"/>
  <c r="C33" i="8"/>
  <c r="B33" i="8"/>
  <c r="D31" i="8"/>
  <c r="C31" i="8"/>
  <c r="B31" i="8"/>
  <c r="D30" i="8"/>
  <c r="C30" i="8"/>
  <c r="D29" i="8"/>
  <c r="C29" i="8"/>
  <c r="B29" i="8"/>
  <c r="D28" i="8"/>
  <c r="C28" i="8"/>
  <c r="B28" i="8"/>
  <c r="D27" i="8"/>
  <c r="C27" i="8"/>
  <c r="B27" i="8"/>
  <c r="D25" i="8"/>
  <c r="C25" i="8"/>
  <c r="B25" i="8"/>
  <c r="D24" i="8"/>
  <c r="C24" i="8"/>
  <c r="B24" i="8"/>
  <c r="D23" i="8"/>
  <c r="C23" i="8"/>
  <c r="B23" i="8"/>
  <c r="D22" i="8"/>
  <c r="C22" i="8"/>
  <c r="B22" i="8"/>
  <c r="D21" i="8"/>
  <c r="C21" i="8"/>
  <c r="B21" i="8"/>
  <c r="D19" i="8"/>
  <c r="C19" i="8"/>
  <c r="B19" i="8"/>
  <c r="D18" i="8"/>
  <c r="C18" i="8"/>
  <c r="B18" i="8"/>
  <c r="D17" i="8"/>
  <c r="C17" i="8"/>
  <c r="B17" i="8"/>
  <c r="D16" i="8"/>
  <c r="C16" i="8"/>
  <c r="B16" i="8"/>
  <c r="D15" i="8"/>
  <c r="C15" i="8"/>
  <c r="B15" i="8"/>
  <c r="D13" i="8"/>
  <c r="C13" i="8"/>
  <c r="B13" i="8"/>
  <c r="D12" i="8"/>
  <c r="C12" i="8"/>
  <c r="B12" i="8"/>
  <c r="D11" i="8"/>
  <c r="C11" i="8"/>
  <c r="B11" i="8"/>
  <c r="E6" i="8"/>
  <c r="E85" i="6"/>
  <c r="D85" i="6"/>
  <c r="C85" i="6"/>
  <c r="B85" i="6"/>
  <c r="E84" i="6"/>
  <c r="D84" i="6"/>
  <c r="C84" i="6"/>
  <c r="B84" i="6"/>
  <c r="D83" i="6"/>
  <c r="C83" i="6"/>
  <c r="B83" i="6"/>
  <c r="D82" i="6"/>
  <c r="C82" i="6"/>
  <c r="B82" i="6"/>
  <c r="D81" i="6"/>
  <c r="C81" i="6"/>
  <c r="B81" i="6"/>
  <c r="D80" i="6"/>
  <c r="C80" i="6"/>
  <c r="B80" i="6"/>
  <c r="E79" i="6"/>
  <c r="D79" i="6"/>
  <c r="C79" i="6"/>
  <c r="B79" i="6"/>
  <c r="E78" i="6"/>
  <c r="D78" i="6"/>
  <c r="C78" i="6"/>
  <c r="B78" i="6"/>
  <c r="D77" i="6"/>
  <c r="C77" i="6"/>
  <c r="B77" i="6"/>
  <c r="D76" i="6"/>
  <c r="C76" i="6"/>
  <c r="B76" i="6"/>
  <c r="D75" i="6"/>
  <c r="C75" i="6"/>
  <c r="B75" i="6"/>
  <c r="D74" i="6"/>
  <c r="C74" i="6"/>
  <c r="B74" i="6"/>
  <c r="E73" i="6"/>
  <c r="D73" i="6"/>
  <c r="C73" i="6"/>
  <c r="B73" i="6"/>
  <c r="E72" i="6"/>
  <c r="D72" i="6"/>
  <c r="C72" i="6"/>
  <c r="B72" i="6"/>
  <c r="D71" i="6"/>
  <c r="C71" i="6"/>
  <c r="B71" i="6"/>
  <c r="D70" i="6"/>
  <c r="C70" i="6"/>
  <c r="B70" i="6"/>
  <c r="D69" i="6"/>
  <c r="C69" i="6"/>
  <c r="B69" i="6"/>
  <c r="D68" i="6"/>
  <c r="C68" i="6"/>
  <c r="B68" i="6"/>
  <c r="E67" i="6"/>
  <c r="D67" i="6"/>
  <c r="C67" i="6"/>
  <c r="B67" i="6"/>
  <c r="E66" i="6"/>
  <c r="D66" i="6"/>
  <c r="C66" i="6"/>
  <c r="B66" i="6"/>
  <c r="D65" i="6"/>
  <c r="C65" i="6"/>
  <c r="B65" i="6"/>
  <c r="D64" i="6"/>
  <c r="C64" i="6"/>
  <c r="B64" i="6"/>
  <c r="D63" i="6"/>
  <c r="C63" i="6"/>
  <c r="B63" i="6"/>
  <c r="D62" i="6"/>
  <c r="C62" i="6"/>
  <c r="B62" i="6"/>
  <c r="E61" i="6"/>
  <c r="D61" i="6"/>
  <c r="C61" i="6"/>
  <c r="B61" i="6"/>
  <c r="E60" i="6"/>
  <c r="D60" i="6"/>
  <c r="C60" i="6"/>
  <c r="B60" i="6"/>
  <c r="D59" i="6"/>
  <c r="C59" i="6"/>
  <c r="B59" i="6"/>
  <c r="D58" i="6"/>
  <c r="C58" i="6"/>
  <c r="B58" i="6"/>
  <c r="D57" i="6"/>
  <c r="C57" i="6"/>
  <c r="B57" i="6"/>
  <c r="D56" i="6"/>
  <c r="C56" i="6"/>
  <c r="B56" i="6"/>
  <c r="E55" i="6"/>
  <c r="D55" i="6"/>
  <c r="C55" i="6"/>
  <c r="B55" i="6"/>
  <c r="E54" i="6"/>
  <c r="D54" i="6"/>
  <c r="C54" i="6"/>
  <c r="B54" i="6"/>
  <c r="D53" i="6"/>
  <c r="C53" i="6"/>
  <c r="B53" i="6"/>
  <c r="D52" i="6"/>
  <c r="C52" i="6"/>
  <c r="B52" i="6"/>
  <c r="D51" i="6"/>
  <c r="C51" i="6"/>
  <c r="B51" i="6"/>
  <c r="D50" i="6"/>
  <c r="C50" i="6"/>
  <c r="B50" i="6"/>
  <c r="E49" i="6"/>
  <c r="D49" i="6"/>
  <c r="C49" i="6"/>
  <c r="B49" i="6"/>
  <c r="E48" i="6"/>
  <c r="D48" i="6"/>
  <c r="C48" i="6"/>
  <c r="B48" i="6"/>
  <c r="D44" i="6"/>
  <c r="C44" i="6"/>
  <c r="D43" i="6"/>
  <c r="C43" i="6"/>
  <c r="D42" i="6"/>
  <c r="C42" i="6"/>
  <c r="D41" i="6"/>
  <c r="C41" i="6"/>
  <c r="D40" i="6"/>
  <c r="C40" i="6"/>
  <c r="D39" i="6"/>
  <c r="C39" i="6"/>
  <c r="D38" i="6"/>
  <c r="C38" i="6"/>
  <c r="C34" i="6"/>
  <c r="C33" i="6"/>
  <c r="D32" i="6"/>
  <c r="C32" i="6"/>
  <c r="E28" i="6"/>
  <c r="D28" i="6"/>
  <c r="C28" i="6"/>
  <c r="E27" i="6"/>
  <c r="D27" i="6"/>
  <c r="C27" i="6"/>
  <c r="E26" i="6"/>
  <c r="D26" i="6"/>
  <c r="C26" i="6"/>
  <c r="C22" i="6"/>
  <c r="C21" i="6"/>
  <c r="C20" i="6"/>
  <c r="C19" i="6"/>
  <c r="C18" i="6"/>
  <c r="C17" i="6"/>
  <c r="C16" i="6"/>
  <c r="D12" i="6"/>
  <c r="C12" i="6"/>
  <c r="D11" i="6"/>
  <c r="C11" i="6"/>
  <c r="E10" i="6"/>
  <c r="D10" i="6"/>
  <c r="C10" i="6"/>
  <c r="E9" i="6"/>
  <c r="D9" i="6"/>
  <c r="C9" i="6"/>
  <c r="E8" i="6"/>
  <c r="D8" i="6"/>
  <c r="C8" i="6"/>
  <c r="O39" i="5"/>
  <c r="M39" i="5"/>
  <c r="O38" i="5"/>
  <c r="G42" i="12" s="1"/>
  <c r="M38" i="5"/>
  <c r="O37" i="5"/>
  <c r="E41" i="12" s="1"/>
  <c r="E46" i="8" s="1"/>
  <c r="M37" i="5"/>
  <c r="O36" i="5"/>
  <c r="G40" i="12" s="1"/>
  <c r="M36" i="5"/>
  <c r="O35" i="5"/>
  <c r="D21" i="6" s="1"/>
  <c r="M35" i="5"/>
  <c r="O34" i="5"/>
  <c r="E21" i="6" s="1"/>
  <c r="M34" i="5"/>
  <c r="O33" i="5"/>
  <c r="M33" i="5"/>
  <c r="O32" i="5"/>
  <c r="E36" i="12" s="1"/>
  <c r="E41" i="8" s="1"/>
  <c r="M32" i="5"/>
  <c r="O31" i="5"/>
  <c r="E77" i="6" s="1"/>
  <c r="M31" i="5"/>
  <c r="O30" i="5"/>
  <c r="G34" i="12" s="1"/>
  <c r="M30" i="5"/>
  <c r="O29" i="5"/>
  <c r="D20" i="6" s="1"/>
  <c r="M29" i="5"/>
  <c r="O28" i="5"/>
  <c r="E32" i="12" s="1"/>
  <c r="E37" i="8" s="1"/>
  <c r="M28" i="5"/>
  <c r="O27" i="5"/>
  <c r="M27" i="5"/>
  <c r="O26" i="5"/>
  <c r="E30" i="12" s="1"/>
  <c r="E35" i="8" s="1"/>
  <c r="M26" i="5"/>
  <c r="O25" i="5"/>
  <c r="E71" i="6" s="1"/>
  <c r="M25" i="5"/>
  <c r="O24" i="5"/>
  <c r="G28" i="12" s="1"/>
  <c r="M24" i="5"/>
  <c r="O23" i="5"/>
  <c r="G27" i="12" s="1"/>
  <c r="M23" i="5"/>
  <c r="O22" i="5"/>
  <c r="E26" i="12" s="1"/>
  <c r="E31" i="8" s="1"/>
  <c r="M22" i="5"/>
  <c r="O21" i="5"/>
  <c r="M21" i="5"/>
  <c r="O20" i="5"/>
  <c r="E24" i="12" s="1"/>
  <c r="E29" i="8" s="1"/>
  <c r="M20" i="5"/>
  <c r="O19" i="5"/>
  <c r="E65" i="6" s="1"/>
  <c r="M19" i="5"/>
  <c r="O18" i="5"/>
  <c r="G22" i="12" s="1"/>
  <c r="M18" i="5"/>
  <c r="O17" i="5"/>
  <c r="G21" i="12" s="1"/>
  <c r="M17" i="5"/>
  <c r="O16" i="5"/>
  <c r="E20" i="12" s="1"/>
  <c r="E25" i="8" s="1"/>
  <c r="M16" i="5"/>
  <c r="O15" i="5"/>
  <c r="M15" i="5"/>
  <c r="O14" i="5"/>
  <c r="E18" i="12" s="1"/>
  <c r="E23" i="8" s="1"/>
  <c r="M14" i="5"/>
  <c r="O13" i="5"/>
  <c r="E59" i="6" s="1"/>
  <c r="M13" i="5"/>
  <c r="O12" i="5"/>
  <c r="G16" i="12" s="1"/>
  <c r="M12" i="5"/>
  <c r="O11" i="5"/>
  <c r="E17" i="6" s="1"/>
  <c r="M11" i="5"/>
  <c r="O10" i="5"/>
  <c r="E14" i="12" s="1"/>
  <c r="E19" i="8" s="1"/>
  <c r="M10" i="5"/>
  <c r="O9" i="5"/>
  <c r="M9" i="5"/>
  <c r="O8" i="5"/>
  <c r="E12" i="12" s="1"/>
  <c r="E17" i="8" s="1"/>
  <c r="M8" i="5"/>
  <c r="O7" i="5"/>
  <c r="E53" i="6" s="1"/>
  <c r="M7" i="5"/>
  <c r="O6" i="5"/>
  <c r="G10" i="12" s="1"/>
  <c r="M6" i="5"/>
  <c r="O5" i="5"/>
  <c r="E51" i="6" s="1"/>
  <c r="M5" i="5"/>
  <c r="O4" i="5"/>
  <c r="E8" i="12" s="1"/>
  <c r="E13" i="8" s="1"/>
  <c r="M4" i="5"/>
  <c r="O3" i="5"/>
  <c r="M3" i="5"/>
  <c r="O2" i="5"/>
  <c r="D16" i="6" s="1"/>
  <c r="M2" i="5"/>
  <c r="E16" i="6" l="1"/>
  <c r="E57" i="6"/>
  <c r="E63" i="6"/>
  <c r="E69" i="6"/>
  <c r="E39" i="12"/>
  <c r="E44" i="8" s="1"/>
  <c r="D22" i="6"/>
  <c r="E52" i="6"/>
  <c r="E64" i="6"/>
  <c r="E76" i="6"/>
  <c r="E82" i="6"/>
  <c r="G41" i="12"/>
  <c r="E9" i="12"/>
  <c r="E14" i="8" s="1"/>
  <c r="E11" i="12"/>
  <c r="E16" i="8" s="1"/>
  <c r="E17" i="12"/>
  <c r="E22" i="8" s="1"/>
  <c r="E21" i="12"/>
  <c r="E26" i="8" s="1"/>
  <c r="E23" i="12"/>
  <c r="E28" i="8" s="1"/>
  <c r="E27" i="12"/>
  <c r="E32" i="8" s="1"/>
  <c r="E29" i="12"/>
  <c r="E34" i="8" s="1"/>
  <c r="E33" i="12"/>
  <c r="E38" i="8" s="1"/>
  <c r="E35" i="12"/>
  <c r="E40" i="8" s="1"/>
  <c r="D18" i="6"/>
  <c r="E58" i="6"/>
  <c r="E70" i="6"/>
  <c r="E18" i="6"/>
  <c r="E22" i="6"/>
  <c r="G9" i="12"/>
  <c r="G11" i="12"/>
  <c r="G15" i="12"/>
  <c r="G17" i="12"/>
  <c r="G23" i="12"/>
  <c r="G29" i="12"/>
  <c r="G33" i="12"/>
  <c r="G35" i="12"/>
  <c r="G39" i="12"/>
  <c r="D19" i="6"/>
  <c r="E50" i="6"/>
  <c r="E56" i="6"/>
  <c r="E62" i="6"/>
  <c r="E68" i="6"/>
  <c r="E74" i="6"/>
  <c r="E80" i="6"/>
  <c r="E83" i="6"/>
  <c r="E6" i="12"/>
  <c r="E11" i="8" s="1"/>
  <c r="E10" i="12"/>
  <c r="E15" i="8" s="1"/>
  <c r="E16" i="12"/>
  <c r="E21" i="8" s="1"/>
  <c r="E22" i="12"/>
  <c r="E27" i="8" s="1"/>
  <c r="E28" i="12"/>
  <c r="E33" i="8" s="1"/>
  <c r="E34" i="12"/>
  <c r="E39" i="8" s="1"/>
  <c r="E38" i="12"/>
  <c r="E43" i="8" s="1"/>
  <c r="E40" i="12"/>
  <c r="E45" i="8" s="1"/>
  <c r="E42" i="12"/>
  <c r="E47" i="8" s="1"/>
  <c r="E20" i="6"/>
  <c r="E75" i="6"/>
  <c r="E81" i="6"/>
  <c r="E15" i="12"/>
  <c r="E20" i="8" s="1"/>
  <c r="E19" i="6"/>
  <c r="D17" i="6"/>
</calcChain>
</file>

<file path=xl/sharedStrings.xml><?xml version="1.0" encoding="utf-8"?>
<sst xmlns="http://schemas.openxmlformats.org/spreadsheetml/2006/main" count="1220" uniqueCount="871">
  <si>
    <t>License-ID: CN-NIST-CSF-SMB-20260522-001</t>
  </si>
  <si>
    <t>LICENSE AND TERMS OF USE</t>
  </si>
  <si>
    <t>NIST CSF 2.0 Small Business Cyber Risk Workplan</t>
  </si>
  <si>
    <t>By using, opening, or adapting this workbook you confirm that you have read and agree to the terms below. Commercial use requires a separate license. Contact [EMAIL ADDRESS] for details.</t>
  </si>
  <si>
    <t>1.   License</t>
  </si>
  <si>
    <t>Creative Commons BY-NC-SA 4.0</t>
  </si>
  <si>
    <t>creativecommons.org/licenses/by-nc-sa/4.0</t>
  </si>
  <si>
    <t>This Framework (the "Framework") is published by Cyber Native and licensed under the Creative Commons Attribution-NonCommercial-ShareAlike 4.0 International License (CC BY-NC-SA 4.0). By using, adapting, or sharing this Framework you agree to the conditions set out below.</t>
  </si>
  <si>
    <t>2.   License Conditions</t>
  </si>
  <si>
    <t>BY - Attribution</t>
  </si>
  <si>
    <t>Credit must be given to Cyber Native as the originating author. The CC BY-NC-SA 4.0 license identifier and a link to creativecommons.org/licenses/by-nc-sa/4.0 must be retained on all copies and adaptations. Attribution must not suggest that Cyber Native endorses any particular use unless separately agreed in writing.</t>
  </si>
  <si>
    <t>NC - Non-Commercial</t>
  </si>
  <si>
    <t>SA - Share-Alike</t>
  </si>
  <si>
    <t>Adaptations of the Framework are permitted for internal use and internal circulation within a single organization. Internal adaptation and internal circulation do not constitute external distribution and therefore do not trigger the Share-Alike condition. Where an adaptation is shared externally (made available to any party outside the adapting organization) it must be distributed under the same CC BY-NC-SA 4.0 license terms. No additional restrictions may be applied to externally shared adaptations beyond those in this license.</t>
  </si>
  <si>
    <t>3.   Third-Party Rights and Acknowledgements</t>
  </si>
  <si>
    <t>This Framework references material published by third-party organizations. Those rights are unaffected by this license. Users of this Framework remain independently bound by the original terms applicable to any such referenced material.</t>
  </si>
  <si>
    <t>NIST Publications - Public Domain</t>
  </si>
  <si>
    <t>This Framework references publications of the National Institute of Standards and Technology (NIST), a non-regulatory agency of the United States Department of Commerce. NIST publications are works of the United States federal government and are not subject to copyright protection in the United States under 17 U.S.C. Section 105. They may be used freely without restriction within the United States. International users should verify applicable local rules regarding the use of US federal government publications.</t>
  </si>
  <si>
    <t>4.   Attribution and Integrity</t>
  </si>
  <si>
    <t>All copies and adaptations must retain this license notice and credit Cyber Native as the originating author of the Framework. The Framework must not be represented as the original work of any other individual or organization.</t>
  </si>
  <si>
    <t>5.   No Warranty</t>
  </si>
  <si>
    <t>The Framework is provided on an "as-is" basis. It does not constitute legal, regulatory, or professional advice. No liability is accepted for decisions made in reliance on its outputs.</t>
  </si>
  <si>
    <t>Cyber Native  |  cybernative.uk  |  Licensed under CC BY-NC-SA 4.0  |  NIST CSF 2.0 Small Business Cyber Risk Workplan  |  2026</t>
  </si>
  <si>
    <t>CYBER NATIVE</t>
  </si>
  <si>
    <t>A structured maturity assessment aligned to the NIST Cybersecurity Framework 2.0 and the NIST SP 1300 Small Business Quick-Start Guide</t>
  </si>
  <si>
    <t>Organization Details</t>
  </si>
  <si>
    <t>Organization Name</t>
  </si>
  <si>
    <t>Industry / Sector</t>
  </si>
  <si>
    <t>Approximate Headcount</t>
  </si>
  <si>
    <t>Primary Assessor</t>
  </si>
  <si>
    <t>Program Authority</t>
  </si>
  <si>
    <t>Assessment Start Date</t>
  </si>
  <si>
    <t>Assessment Completion Date</t>
  </si>
  <si>
    <t>Note: the date above drives the Remediation Plan start date automatically. The Remediation Plan opens 14 calendar days after this date.</t>
  </si>
  <si>
    <t>Document Control</t>
  </si>
  <si>
    <t>Document Reference</t>
  </si>
  <si>
    <t>CN-NIST-CSF-SMB-WORKPLAN-v0.001</t>
  </si>
  <si>
    <t>Version</t>
  </si>
  <si>
    <t>v0.001</t>
  </si>
  <si>
    <t>Issue Date</t>
  </si>
  <si>
    <t>Status</t>
  </si>
  <si>
    <t>Classification</t>
  </si>
  <si>
    <t>Confidential</t>
  </si>
  <si>
    <t>Framework Reference</t>
  </si>
  <si>
    <t>Primary Framework</t>
  </si>
  <si>
    <t>NIST Cybersecurity Framework 2.0 (CSF 2.0)</t>
  </si>
  <si>
    <t>SMB Guide</t>
  </si>
  <si>
    <t>NIST SP 1300 - Small Business Quick-Start Guide (Feb 2024)</t>
  </si>
  <si>
    <t>Framework URL</t>
  </si>
  <si>
    <t>csrc.nist.gov/pubs/sp/1300/final</t>
  </si>
  <si>
    <t>Assessment Coverage</t>
  </si>
  <si>
    <t>All 6 CSF 2.0 Functions: Govern, Identify, Protect, Detect, Respond, Recover</t>
  </si>
  <si>
    <t>Scoring Model - Three-Point Maturity Scale</t>
  </si>
  <si>
    <t>Each action in the Controls Assessment is scored on a three-point scale. Score entries are selected from a dropdown. The overall maturity rating for each CSF Function and for the full program is calculated automatically.</t>
  </si>
  <si>
    <t>Implemented  (Score 2 / 2)</t>
  </si>
  <si>
    <t>The action is fully in place. Evidence confirms consistent, documented implementation.</t>
  </si>
  <si>
    <t>Partial        (Score 1 / 2)</t>
  </si>
  <si>
    <t>The action is in progress or partially implemented. Gaps remain.</t>
  </si>
  <si>
    <t>Not Started  (Score 0 / 2)</t>
  </si>
  <si>
    <t>The action has not been started. No evidence of implementation.</t>
  </si>
  <si>
    <t>Not Assessed</t>
  </si>
  <si>
    <t>The row has not yet been reviewed by the assessor.</t>
  </si>
  <si>
    <t>How to Use This Workbook</t>
  </si>
  <si>
    <t>Step 1 - Complete Business Context</t>
  </si>
  <si>
    <t>Open the Business and Technology Context sheet and complete all fields before beginning the assessment. This grounds all subsequent judgements in your specific operating environment.</t>
  </si>
  <si>
    <t>Step 2 - Work Through Controls Assessment</t>
  </si>
  <si>
    <t>For each row in the Controls Assessment sheet, review the action description and evidence guidance. Select a score from the dropdown in column K and record your evidence in column P.</t>
  </si>
  <si>
    <t>Step 3 - Review the Dashboard</t>
  </si>
  <si>
    <t>The Dashboard updates automatically as scores are entered. Use it to identify which CSF Functions and CSF Tiers have the greatest concentration of gaps.</t>
  </si>
  <si>
    <t>Step 4 - Prioritize Using Remediation Plan</t>
  </si>
  <si>
    <t>The Remediation Plan is pre-loaded with all assessment actions. Items that are Partial or Not Started remain visible as remediation tasks. Set owners and target dates to build your action plan.</t>
  </si>
  <si>
    <t>Step 5 - Complete Supporting Registers</t>
  </si>
  <si>
    <t>Use the RAID Log and Risk Register to capture program risks and findings in enterprise risk language. The Stakeholder Register supports engagement planning across responsible teams.</t>
  </si>
  <si>
    <t>Step 6 - Re-assess Periodically</t>
  </si>
  <si>
    <t>Update scores as controls are implemented. The Dashboard and Remediation Plan will reflect progress in real time. Version the workbook on each re-assessment cycle.</t>
  </si>
  <si>
    <t>INSTRUCTIONS</t>
  </si>
  <si>
    <t>Read this sheet before beginning the assessment. It explains each column in the Controls Assessment, the scoring model, and how to navigate the workbook.</t>
  </si>
  <si>
    <t>Purpose of This Workplan</t>
  </si>
  <si>
    <t>This workplan provides a structured, evidence-based assessment of cybersecurity practice against the NIST Cybersecurity Framework 2.0 (CSF 2.0), oriented specifically for small and medium-sized businesses (SMBs). It covers all six CSF 2.0 Functions: Govern, Identify, Protect, Detect, Respond, and Recover. Assessment actions are drawn from NIST SP 1300, the NIST Small Business Quick-Start Guide (February 2024), mapped to their corresponding CSF 2.0 subcategory codes. Metric definitions reference the full CSF 2.0 core framework (NIST CSWP 29).</t>
  </si>
  <si>
    <t>Workbook Structure and Navigation</t>
  </si>
  <si>
    <t>!! LICENSE - READ FIRST !!</t>
  </si>
  <si>
    <t>License terms and conditions of use. Read before distributing.</t>
  </si>
  <si>
    <t>Cover</t>
  </si>
  <si>
    <t>Organization details, document control, framework reference, and scoring key.</t>
  </si>
  <si>
    <t>Instructions</t>
  </si>
  <si>
    <t>This sheet. Column guide, scoring logic, and navigation reference.</t>
  </si>
  <si>
    <t>Business and Technology Context</t>
  </si>
  <si>
    <t>Pre-assessment scoping sheet. Complete before opening Controls Assessment.</t>
  </si>
  <si>
    <t>Controls Assessment</t>
  </si>
  <si>
    <t>Primary working sheet. All 22 columns across all 6 CSF Functions.</t>
  </si>
  <si>
    <t>Dashboard</t>
  </si>
  <si>
    <t>Six-panel visual summary. Updates automatically as scores are entered.</t>
  </si>
  <si>
    <t>Assessment Detail Capture</t>
  </si>
  <si>
    <t>Expanded evidence documentation. One row per evidence item per metric.</t>
  </si>
  <si>
    <t>Remediation Plan</t>
  </si>
  <si>
    <t>Pre-loaded action plan. Failing items appear as remediation tasks automatically.</t>
  </si>
  <si>
    <t>RAID Log</t>
  </si>
  <si>
    <t>Program-level risks, assumptions, issues, and dependencies.</t>
  </si>
  <si>
    <t>Risk Register</t>
  </si>
  <si>
    <t>Enterprise risks linked to assessment findings.</t>
  </si>
  <si>
    <t>Stakeholder Register</t>
  </si>
  <si>
    <t>Key contacts and engagement tracking.</t>
  </si>
  <si>
    <t>Remediation Index</t>
  </si>
  <si>
    <t>Working sheet driving Remediation Plan visibility. Do not edit directly.</t>
  </si>
  <si>
    <t>Column Type Legend</t>
  </si>
  <si>
    <t>Pre-populated</t>
  </si>
  <si>
    <t>Content is sourced from NIST CSF 2.0 and SP 1300. Do not edit.</t>
  </si>
  <si>
    <t>Assessor Input</t>
  </si>
  <si>
    <t>Assessor completes these fields during the assessment. Blue text on white or shaded background.</t>
  </si>
  <si>
    <t>Auto-Calculated</t>
  </si>
  <si>
    <t>Formula-driven. Updates automatically. Do not edit.</t>
  </si>
  <si>
    <t>Controls Assessment - Column Reference Guide (22 Columns)</t>
  </si>
  <si>
    <t>Col</t>
  </si>
  <si>
    <t>Field Name</t>
  </si>
  <si>
    <t>Description</t>
  </si>
  <si>
    <t>A</t>
  </si>
  <si>
    <t>CSF Function</t>
  </si>
  <si>
    <t>Primary filter anchor. One of six CSF 2.0 Functions: Govern, Identify, Protect, Detect, Respond, Recover. AutoFilter is enabled on all 22 columns.</t>
  </si>
  <si>
    <t>B</t>
  </si>
  <si>
    <t>Category</t>
  </si>
  <si>
    <t>CSF 2.0 Category code and name. For example: GV.OC - Organizational Context. Each Function contains between two and five Categories.</t>
  </si>
  <si>
    <t>C</t>
  </si>
  <si>
    <t>Subcategory ID</t>
  </si>
  <si>
    <t>CSF 2.0 Subcategory reference code. For example: GV.OC-01. This is the primary cross-reference to the full CSF 2.0 core framework (NIST CSWP 29).</t>
  </si>
  <si>
    <t>D</t>
  </si>
  <si>
    <t>Subcategory Title</t>
  </si>
  <si>
    <t>Full subcategory outcome statement as published in CSF 2.0. Reproduced verbatim from the authoritative source.</t>
  </si>
  <si>
    <t>E</t>
  </si>
  <si>
    <t>CSF Tier Applicability</t>
  </si>
  <si>
    <t>Indicates the CSF Tier at which this action becomes expected practice: Tier 1 (foundational), Tier 2 (risk-informed), or Tier 3 (repeatable). Tier 4 actions are noted but not separately scored at SMB level.</t>
  </si>
  <si>
    <t>F</t>
  </si>
  <si>
    <t>Metric Reference</t>
  </si>
  <si>
    <t>Unique identifier for this metric row. Format: [Subcategory ID]-M[n]. For example: GV.OC-01-M1. Use this reference in the Assessment Detail Capture sheet and in the Risk Register Source Metric field.</t>
  </si>
  <si>
    <t>G</t>
  </si>
  <si>
    <t>Metric Name</t>
  </si>
  <si>
    <t>Short descriptive name for the metric. Plain language aligned to the SMB audience.</t>
  </si>
  <si>
    <t>H</t>
  </si>
  <si>
    <t>Assessment Question</t>
  </si>
  <si>
    <t>Plain-language question the assessor should answer when reviewing evidence. Derived from SP 1300 actions to consider.</t>
  </si>
  <si>
    <t>I</t>
  </si>
  <si>
    <t>Evidence Required</t>
  </si>
  <si>
    <t>Specific evidence types that would demonstrate implementation. Adapted to the US SMB operating context.</t>
  </si>
  <si>
    <t>J</t>
  </si>
  <si>
    <t>Pass Condition</t>
  </si>
  <si>
    <t>Explicit statement of what constitutes a score of 2 (Implemented) for this metric. Assessors should refer to this field when determining score entries.</t>
  </si>
  <si>
    <t>K</t>
  </si>
  <si>
    <t>Assessed Value</t>
  </si>
  <si>
    <t>Assessor input. Select from dropdown: Not Started / Partial / Implemented. Stored numerically: Not Started = 0, Partial = 1, Implemented = 2. Blue text on shaded background.</t>
  </si>
  <si>
    <t>L</t>
  </si>
  <si>
    <t>Denominator</t>
  </si>
  <si>
    <t>Fixed value of 2 for all rows. Represents the maximum possible score. Do not edit.</t>
  </si>
  <si>
    <t>M</t>
  </si>
  <si>
    <t>Calculated Score</t>
  </si>
  <si>
    <t>Auto-calculated: =IFERROR(K/L, "N/A"). Returns a value between 0 and 1. Formatted as a percentage. Do not edit.</t>
  </si>
  <si>
    <t>N</t>
  </si>
  <si>
    <t>Pass Threshold</t>
  </si>
  <si>
    <t>Fixed value of 1.0 (100%) for all rows. A score of 2/2 is required for a Pass result. Do not edit.</t>
  </si>
  <si>
    <t>O</t>
  </si>
  <si>
    <t>Pass / Partial / Fail</t>
  </si>
  <si>
    <t>Auto-calculated status driven by the Calculated Score. PASS = score 1.0 (green). PARTIAL = score 0.5 (amber). FAIL = score 0 (red). Not Assessed = blank score (grey).</t>
  </si>
  <si>
    <t>P</t>
  </si>
  <si>
    <t>Evidence Collected</t>
  </si>
  <si>
    <t>Free text. Record the specific documents reviewed, system outputs examined, or observations made. Include document names, dates, and versions where available.</t>
  </si>
  <si>
    <t>Q</t>
  </si>
  <si>
    <t>Suggested Evidence Artifacts</t>
  </si>
  <si>
    <t>Indicative evidence types to guide the assessor. Adapt to the organization's specific tooling and documentation practices.</t>
  </si>
  <si>
    <t>R</t>
  </si>
  <si>
    <t>Responsible Function or Team</t>
  </si>
  <si>
    <t>The enterprise function or team most likely to hold the relevant evidence. Used by Dashboard Panel 5 to produce the assessment burden map.</t>
  </si>
  <si>
    <t>S</t>
  </si>
  <si>
    <t>Key Contact Name</t>
  </si>
  <si>
    <t>Name and role of the individual assisting with evidence provision for this metric. Used by Dashboard Panel 4 to track key contact coverage across the assessment.</t>
  </si>
  <si>
    <t>T</t>
  </si>
  <si>
    <t>Assessor Notes</t>
  </si>
  <si>
    <t>Caveats, exceptions, compensating controls, or additional context relevant to this metric. Record partial implementation detail here.</t>
  </si>
  <si>
    <t>U</t>
  </si>
  <si>
    <t>Assessment Date</t>
  </si>
  <si>
    <t>Date on which evidence was reviewed and the score was entered.</t>
  </si>
  <si>
    <t>V</t>
  </si>
  <si>
    <t>Reviewed By</t>
  </si>
  <si>
    <t>Name of the reviewer or peer reviewer who validated this assessment entry.</t>
  </si>
  <si>
    <t>Scoring Logic</t>
  </si>
  <si>
    <t>Each row in the Controls Assessment uses the three-point maturity scale. The assessor selects a value from the dropdown in column K. The Calculated Score (column M) is derived as K divided by L (denominator fixed at 2). The Pass / Partial / Fail status in column O is driven by the calculated score against the pass threshold of 1.0 (column N).</t>
  </si>
  <si>
    <t>Selection</t>
  </si>
  <si>
    <t>Col K</t>
  </si>
  <si>
    <t>Implemented</t>
  </si>
  <si>
    <t>2</t>
  </si>
  <si>
    <t>PASS</t>
  </si>
  <si>
    <t>Partial</t>
  </si>
  <si>
    <t>1</t>
  </si>
  <si>
    <t>PARTIAL</t>
  </si>
  <si>
    <t>Not Started</t>
  </si>
  <si>
    <t>0</t>
  </si>
  <si>
    <t>FAIL</t>
  </si>
  <si>
    <t>CSF Tier Applicability (Column E)</t>
  </si>
  <si>
    <t>The NIST CSF 2.0 Tiers describe the degree to which an organization's cybersecurity risk management practices exhibit the characteristics defined in the Framework. Column E records the Tier at which each action becomes expected practice. SMBs are encouraged to target Tier 2 as the minimum baseline and Tier 3 for functions where regulatory or contractual obligations apply.</t>
  </si>
  <si>
    <t>Tier 1 - Partial</t>
  </si>
  <si>
    <t>Cybersecurity risk management practices are not formalized. Risk is managed in an ad hoc and sometimes reactive manner. Limited awareness of cybersecurity risk at the organizational level.</t>
  </si>
  <si>
    <t>Tier 2 - Risk-Informed</t>
  </si>
  <si>
    <t>Risk management practices are approved by management but may not be established as policy. There is awareness of cybersecurity risk at the organizational level but no organization-wide approach to managing it.</t>
  </si>
  <si>
    <t>Tier 3 - Repeatable</t>
  </si>
  <si>
    <t>Risk management practices are formally approved and expressed as policy. Organization-wide practices are updated regularly based on application of risk management processes.</t>
  </si>
  <si>
    <t>Tier 4 - Adaptive</t>
  </si>
  <si>
    <t>The organization adapts its cybersecurity practices based on lessons learned and predictive indicators. Noted for reference. Not separately scored at SMB level in this workplan.</t>
  </si>
  <si>
    <t>Navigation and Filtering</t>
  </si>
  <si>
    <t>AutoFilter</t>
  </si>
  <si>
    <t>AutoFilter is enabled on all 22 columns of the Controls Assessment. Use the dropdown arrow on Column A to filter by CSF Function. Use Column E to filter by Tier. Use Column O to show only Fail or Partial items.</t>
  </si>
  <si>
    <t>Freeze Panes</t>
  </si>
  <si>
    <t>Freeze panes are set at F2 on the Controls Assessment sheet. Columns A through E (the five identifier columns) remain visible when scrolling right. Row 1 (column headers) remains visible when scrolling down.</t>
  </si>
  <si>
    <t>For metrics requiring detailed evidence documentation, use the Assessment Detail Capture sheet. Enter the Metric Reference from Column F to link evidence records to the correct row.</t>
  </si>
  <si>
    <t>BUSINESS AND TECHNOLOGY CONTEXT</t>
  </si>
  <si>
    <t>Complete all sections below before opening the Controls Assessment. This context shapes scoring judgements and evidence priorities throughout the assessment.</t>
  </si>
  <si>
    <t>1.   Business Profile</t>
  </si>
  <si>
    <t>Field</t>
  </si>
  <si>
    <t>Your Response</t>
  </si>
  <si>
    <t>Guidance</t>
  </si>
  <si>
    <t>Legal Business Name</t>
  </si>
  <si>
    <t>Full legal entity name as registered with your state.</t>
  </si>
  <si>
    <t>Trading Name (if different)</t>
  </si>
  <si>
    <t>Name used in day-to-day operations if different from legal name.</t>
  </si>
  <si>
    <t>Primary Business Activity</t>
  </si>
  <si>
    <t>Brief description of what the business does.</t>
  </si>
  <si>
    <t>Industry Sector</t>
  </si>
  <si>
    <t>Select the closest match: Healthcare / Financial Services / Retail / Manufacturing / Professional Services / Technology / Hospitality / Other.</t>
  </si>
  <si>
    <t>Business Location(s)</t>
  </si>
  <si>
    <t>List all US states (and any international locations) where the business operates.</t>
  </si>
  <si>
    <t>Number of Employees</t>
  </si>
  <si>
    <t>Full-time equivalent headcount across all locations.</t>
  </si>
  <si>
    <t>Annual Revenue Band</t>
  </si>
  <si>
    <t>Select: Under $1M / $1M-$10M / $10M-$50M / $50M-$250M. Used to contextualise proportionality of controls.</t>
  </si>
  <si>
    <t>Years in Operation</t>
  </si>
  <si>
    <t>2.   Technology Environment</t>
  </si>
  <si>
    <t>Primary Infrastructure Model</t>
  </si>
  <si>
    <t>Select: Cloud-first / Primarily on-premise / Hybrid. Cloud-first means the majority of workloads run in a public cloud platform.</t>
  </si>
  <si>
    <t>Primary Cloud Platform(s)</t>
  </si>
  <si>
    <t>List the cloud platforms in use: AWS, Microsoft Azure, Google Cloud, Microsoft 365, Google Workspace, other SaaS platforms.</t>
  </si>
  <si>
    <t>On-Premise Server Count</t>
  </si>
  <si>
    <t>Approximate number of physical or virtual servers hosted in your own facilities.</t>
  </si>
  <si>
    <t>Approximate Device Count</t>
  </si>
  <si>
    <t>Total count of laptops, desktops, and mobile devices used for business purposes.</t>
  </si>
  <si>
    <t>Operating Systems in Use</t>
  </si>
  <si>
    <t>List primary operating systems: Windows, macOS, Linux, iOS, Android.</t>
  </si>
  <si>
    <t>Remote Working Posture</t>
  </si>
  <si>
    <t>Select: Fully remote / Predominantly remote / Hybrid / Predominantly on-site. Note the proportion of employees working remotely.</t>
  </si>
  <si>
    <t>Software Development Activity</t>
  </si>
  <si>
    <t>Does the organization develop software internally or for clients? Yes / No. If yes, note the development stack and deployment model.</t>
  </si>
  <si>
    <t>Operational Technology (OT) or IoT Devices</t>
  </si>
  <si>
    <t>Does the organization use industrial control systems, SCADA, or IoT devices connected to the business network? Yes / No. If yes, describe.</t>
  </si>
  <si>
    <t>3.   Network and Connectivity</t>
  </si>
  <si>
    <t>Internet Service Provider(s)</t>
  </si>
  <si>
    <t>List ISPs providing connectivity to business locations.</t>
  </si>
  <si>
    <t>Number of Internet-Facing Systems</t>
  </si>
  <si>
    <t>Count of servers, services, or applications accessible from the public internet.</t>
  </si>
  <si>
    <t>Wireless Networks</t>
  </si>
  <si>
    <t>Describe wireless network segmentation: corporate, guest, and IoT networks.</t>
  </si>
  <si>
    <t>VPN or Remote Access Solution</t>
  </si>
  <si>
    <t>Solution in use for remote employee access to corporate resources, if any.</t>
  </si>
  <si>
    <t>Third-Party Network Access</t>
  </si>
  <si>
    <t>Do any third parties (vendors, managed service providers, or contractors) have direct network access to your systems? Yes / No. If yes, list.</t>
  </si>
  <si>
    <t>4.   Data and Information Assets</t>
  </si>
  <si>
    <t>Customer Personal Data</t>
  </si>
  <si>
    <t>Does the organization collect, store, or process personal data belonging to customers? Yes / No. If yes, approximate record count.</t>
  </si>
  <si>
    <t>Employee Personal Data</t>
  </si>
  <si>
    <t>Describe the categories of employee personal data held (payroll, SSN, health, etc.).</t>
  </si>
  <si>
    <t>Payment Card Data</t>
  </si>
  <si>
    <t>Does the organization process, store, or transmit payment card data? Yes / No. If yes, note the cardholder data environment scope.</t>
  </si>
  <si>
    <t>Protected Health Information (PHI)</t>
  </si>
  <si>
    <t>Does the organization create, receive, maintain, or transmit PHI covered by HIPAA? Yes / No. If yes, describe the data flows.</t>
  </si>
  <si>
    <t>Proprietary or Trade Secret Information</t>
  </si>
  <si>
    <t>Does the organization hold intellectual property, trade secrets, or confidential business information that would cause significant harm if disclosed?</t>
  </si>
  <si>
    <t>Federal Contract Information (FCI) or Controlled Unclassified Information (CUI)</t>
  </si>
  <si>
    <t>Does the organization work on US federal contracts requiring DFARS or CMMC compliance? Yes / No. If yes, describe the scope.</t>
  </si>
  <si>
    <t>5.   Regulatory and Contractual Obligations</t>
  </si>
  <si>
    <t>Tick or note all that apply. This section determines which CSF Tier targets are most relevant and where evidence depth requirements are highest.</t>
  </si>
  <si>
    <t>HIPAA (Health Insurance Portability and Accountability Act)</t>
  </si>
  <si>
    <t>Applies to covered entities and business associates handling PHI.</t>
  </si>
  <si>
    <t>GLBA Safeguards Rule (Gramm-Leach-Bliley Act)</t>
  </si>
  <si>
    <t>Applies to financial institutions handling consumer financial data.</t>
  </si>
  <si>
    <t>PCI DSS (Payment Card Industry Data Security Standard)</t>
  </si>
  <si>
    <t>Applies to any organization that processes, stores, or transmits payment card data.</t>
  </si>
  <si>
    <t>CCPA / CPRA (California Consumer Privacy Act / Rights Act)</t>
  </si>
  <si>
    <t>Applies to for-profit businesses meeting California thresholds that handle CA resident data.</t>
  </si>
  <si>
    <t>DFARS / CMMC (Defense Federal Acquisition Regulation Supplement / Cybersecurity Maturity Model Certification)</t>
  </si>
  <si>
    <t>Applies to US federal contractors and subcontractors handling FCI or CUI.</t>
  </si>
  <si>
    <t>State Data Breach Notification Law</t>
  </si>
  <si>
    <t>All 50 US states have breach notification requirements. Note the relevant state(s).</t>
  </si>
  <si>
    <t>Cyber Insurance Policy Requirements</t>
  </si>
  <si>
    <t>List any specific security controls required as a condition of your cyber insurance policy.</t>
  </si>
  <si>
    <t>Contractual Customer or Partner Requirements</t>
  </si>
  <si>
    <t>List any security requirements imposed by key customers or partners via contract.</t>
  </si>
  <si>
    <t>Other Applicable Regulations or Standards</t>
  </si>
  <si>
    <t>Note any sector-specific or international obligations not listed above.</t>
  </si>
  <si>
    <t>6.   Current Security Posture (Self-Assessment)</t>
  </si>
  <si>
    <t>Self-Assessed CSF Tier (Overall)</t>
  </si>
  <si>
    <t>Select: Tier 1 (Partial) / Tier 2 (Risk-Informed) / Tier 3 (Repeatable) / Tier 4 (Adaptive). Refer to the Instructions sheet for Tier definitions.</t>
  </si>
  <si>
    <t>Target CSF Tier</t>
  </si>
  <si>
    <t>The Tier the organization aims to reach through this assessment cycle.</t>
  </si>
  <si>
    <t>Existing Security Tools</t>
  </si>
  <si>
    <t>List primary security tools in use: antivirus / EDR, firewall, email filtering, backup solution, password manager, MFA solution, SIEM, vulnerability scanner.</t>
  </si>
  <si>
    <t>Prior Security Assessments</t>
  </si>
  <si>
    <t>Has the organization previously undertaken a cybersecurity assessment? Yes / No. If yes, note the framework used and approximate date.</t>
  </si>
  <si>
    <t>Managed Service Provider (MSP) or MSSP in Use</t>
  </si>
  <si>
    <t>Is IT or cybersecurity management outsourced to an external provider? Yes / No. If yes, note the provider name and scope of services.</t>
  </si>
  <si>
    <t>Dedicated IT or Security Personnel</t>
  </si>
  <si>
    <t>Does the organization employ dedicated IT or security staff? Yes / No. If yes, note roles and headcount.</t>
  </si>
  <si>
    <t>7.   Assessment Scope Definition</t>
  </si>
  <si>
    <t>Systems and Assets In Scope</t>
  </si>
  <si>
    <t>List the systems, networks, and data types explicitly included in this assessment.</t>
  </si>
  <si>
    <t>Systems and Assets Out of Scope</t>
  </si>
  <si>
    <t>List any systems, networks, or data types explicitly excluded, with the reason for exclusion.</t>
  </si>
  <si>
    <t>Locations In Scope</t>
  </si>
  <si>
    <t>List the business locations and remote working arrangements covered.</t>
  </si>
  <si>
    <t>Exclusions and Limitations</t>
  </si>
  <si>
    <t>Note any known limitations of this assessment: restricted access to systems, key contacts unavailable, time constraints, or evidence gaps.</t>
  </si>
  <si>
    <t>Assessor Signature and Date</t>
  </si>
  <si>
    <t>Full name, role, and date on which this context sheet was completed.</t>
  </si>
  <si>
    <t>Calculated Score (%)</t>
  </si>
  <si>
    <t>Govern</t>
  </si>
  <si>
    <t>GV.OC - Organizational Context</t>
  </si>
  <si>
    <t>GV.OC-01</t>
  </si>
  <si>
    <t>The organizational mission is understood and informs cybersecurity risk management</t>
  </si>
  <si>
    <t>Tier 1</t>
  </si>
  <si>
    <t>GV.OC-01-M1</t>
  </si>
  <si>
    <t>Mission and Cyber Risk Alignment</t>
  </si>
  <si>
    <t>Has the business identified how cybersecurity incidents could disrupt its mission? Has leadership discussed cyber risks in the context of mission-critical operations?</t>
  </si>
  <si>
    <t>Business mission statement. Evidence that cyber risks have been assessed against business objectives: meeting notes, risk register entries, or strategy documents.</t>
  </si>
  <si>
    <t>Score 2 (Implemented): A documented link between the business mission and cybersecurity risks exists and has been reviewed by leadership within the past 12 months.</t>
  </si>
  <si>
    <t>Business mission statement. Strategic plan. Risk register. Leadership meeting notes referencing cybersecurity.</t>
  </si>
  <si>
    <t>Leadership and Ownership</t>
  </si>
  <si>
    <t>GV.OC-03</t>
  </si>
  <si>
    <t>Legal, regulatory, and contractual requirements regarding cybersecurity are understood and managed</t>
  </si>
  <si>
    <t>GV.OC-03-M1</t>
  </si>
  <si>
    <t>Legal and Regulatory Requirements</t>
  </si>
  <si>
    <t>Has the business identified all applicable cybersecurity-related legal, regulatory, and contractual obligations? Are these documented, reviewed, and assigned to an owner?</t>
  </si>
  <si>
    <t>Documented list of applicable requirements with review date and named owner. Examples: HIPAA BAA, PCI DSS SAQ, state breach notification obligations, DFARS clauses.</t>
  </si>
  <si>
    <t>Score 2 (Implemented): A current register of legal, regulatory, and contractual cybersecurity obligations exists, reviewed within the past 12 months, and assigned to a named owner.</t>
  </si>
  <si>
    <t>Compliance register. Contracts with cybersecurity clauses. Insurance policy requirements. Regulatory correspondence.</t>
  </si>
  <si>
    <t>Legal and Compliance</t>
  </si>
  <si>
    <t>GV.RR - Roles, Responsibilities, and Authorities</t>
  </si>
  <si>
    <t>GV.RR-02</t>
  </si>
  <si>
    <t>Roles, responsibilities, and authorities related to cybersecurity risk management are established, communicated, understood, and enforced</t>
  </si>
  <si>
    <t>Tier 2</t>
  </si>
  <si>
    <t>GV.RR-02-M1</t>
  </si>
  <si>
    <t>Cybersecurity Roles and Responsibilities</t>
  </si>
  <si>
    <t>Is there a named individual responsible for developing and executing the cybersecurity strategy? Are cybersecurity responsibilities documented in job descriptions or role assignments?</t>
  </si>
  <si>
    <t>Role assignment documentation. Org chart showing cybersecurity responsibility. Job description referencing cybersecurity duties. Evidence of communication to relevant staff.</t>
  </si>
  <si>
    <t>Score 2 (Implemented): A named individual or designated role is formally assigned cybersecurity responsibility. The assignment is documented and communicated to leadership and relevant staff.</t>
  </si>
  <si>
    <t>Org chart. Job description. Role assignment letter or policy section. Staff communication confirming role awareness.</t>
  </si>
  <si>
    <t>GV.OC-04</t>
  </si>
  <si>
    <t>Critical objectives, capabilities, and services that external stakeholders depend on or expect from the organization are understood and communicated</t>
  </si>
  <si>
    <t>GV.OC-04-M1</t>
  </si>
  <si>
    <t>Critical Asset Impact Assessment</t>
  </si>
  <si>
    <t>Has the business assessed the impact of a total or partial loss of critical assets and operations? Are the most critical assets and services identified and recovery prioritized?</t>
  </si>
  <si>
    <t>Business impact analysis (BIA) or equivalent documentation. Asset criticality register. Records of leadership discussion of critical service dependencies.</t>
  </si>
  <si>
    <t>Score 2 (Implemented): A documented assessment of business impact from loss of critical assets exists, identifies the most critical systems and services, and has been reviewed by leadership within the past 12 months.</t>
  </si>
  <si>
    <t>Business impact analysis. Critical asset list. Service dependency map. Recovery priority documentation.</t>
  </si>
  <si>
    <t>GV.RM - Risk Management Strategy</t>
  </si>
  <si>
    <t>GV.RM-04</t>
  </si>
  <si>
    <t>Strategic direction describing appropriate risk response options is established and communicated</t>
  </si>
  <si>
    <t>GV.RM-04-M1</t>
  </si>
  <si>
    <t>Cyber Insurance Evaluation</t>
  </si>
  <si>
    <t>Has the business assessed whether cyber insurance is appropriate for its risk profile? If a policy is in place, does coverage align with identified exposures? If not, has the decision been documented?</t>
  </si>
  <si>
    <t>Cyber insurance policy or broker correspondence. Evidence of coverage review against risk profile. Documented decision if no policy is held.</t>
  </si>
  <si>
    <t>Score 2 (Implemented): The business has formally assessed cyber insurance appropriateness. Either a policy is in place and aligned to identified exposures, or a documented decision explains why no policy is held.</t>
  </si>
  <si>
    <t>Cyber insurance certificate of coverage. Insurance broker assessment. Risk committee or management decision record.</t>
  </si>
  <si>
    <t>GV.SC - Cybersecurity Supply Chain Risk Management</t>
  </si>
  <si>
    <t>GV.SC-06</t>
  </si>
  <si>
    <t>Planning and due diligence are performed to reduce risks before entering into formal supplier or other third-party relationships</t>
  </si>
  <si>
    <t>GV.SC-06-M1</t>
  </si>
  <si>
    <t>Supplier Cyber Risk Due Diligence</t>
  </si>
  <si>
    <t>Does the business assess cybersecurity risks of suppliers and third parties before entering formal relationships? Are security requirements included in vendor contracts or onboarding processes?</t>
  </si>
  <si>
    <t>Supplier assessment questionnaire or security review process. Vendor contracts referencing security requirements. Evidence that assessments are performed before relationship commencement.</t>
  </si>
  <si>
    <t>Score 2 (Implemented): A documented process for assessing supplier cybersecurity risks exists. Security requirements are included in contracts. Evidence of recent assessments is available.</t>
  </si>
  <si>
    <t>Supplier security questionnaire. Vendor contract with security clauses. Third-party risk register. Onboarding checklist.</t>
  </si>
  <si>
    <t>Procurement and Vendor Management</t>
  </si>
  <si>
    <t>GV.RM-03</t>
  </si>
  <si>
    <t>Cybersecurity risk management activities and outcomes are included in enterprise risk management processes</t>
  </si>
  <si>
    <t>GV.RM-03-M1</t>
  </si>
  <si>
    <t>Enterprise Risk Integration</t>
  </si>
  <si>
    <t>Are cybersecurity risks managed alongside other business risks in a consistent process? Are cyber risk items visible in the business risk register or equivalent governance mechanism?</t>
  </si>
  <si>
    <t>Enterprise risk register showing cybersecurity entries. Evidence of regular review. Risk reporting to leadership that includes cyber items.</t>
  </si>
  <si>
    <t>Score 2 (Implemented): Cybersecurity risks appear in the business risk register. Risk reviews occur at regular intervals. Cyber risk reporting reaches leadership.</t>
  </si>
  <si>
    <t>Risk register with cyber risk entries. Board or management risk report. Risk committee meeting notes.</t>
  </si>
  <si>
    <t>Risk Management</t>
  </si>
  <si>
    <t>GV.RR-01</t>
  </si>
  <si>
    <t>Organizational leadership is responsible and accountable for cybersecurity risk and fosters a culture that is risk-aware, ethical, and continually improving</t>
  </si>
  <si>
    <t>GV.RR-01-M1</t>
  </si>
  <si>
    <t>Leadership Cybersecurity Culture</t>
  </si>
  <si>
    <t>Has leadership explicitly communicated support for a risk-aware cybersecurity culture? Is there visible leadership commitment to security improvement and ethical information handling?</t>
  </si>
  <si>
    <t>Leadership communications referencing cybersecurity. Evidence of leadership participation in security reviews or training. Acceptable use policy signed by leadership.</t>
  </si>
  <si>
    <t>Score 2 (Implemented): Leadership has made documented communications supporting a cybersecurity-aware culture. Evidence of ongoing leadership commitment exists from within the past 12 months.</t>
  </si>
  <si>
    <t>CEO or leadership communication on cybersecurity. Acceptable use policy with leadership sign-off. Security awareness program records.</t>
  </si>
  <si>
    <t>GV.PO - Policy</t>
  </si>
  <si>
    <t>GV.PO-01</t>
  </si>
  <si>
    <t>Policy for managing cybersecurity risks is established based on organizational context, strategy, and priorities and is communicated and enforced</t>
  </si>
  <si>
    <t>GV.PO-01-M1</t>
  </si>
  <si>
    <t>Cybersecurity Policy</t>
  </si>
  <si>
    <t>Does the business have a documented cybersecurity policy communicated to all relevant staff? Is the policy actively enforced and reviewed on a regular basis?</t>
  </si>
  <si>
    <t>Cybersecurity policy document with version date. Evidence of distribution to staff. Evidence of policy enforcement.</t>
  </si>
  <si>
    <t>Score 2 (Implemented): A documented cybersecurity policy exists, has been distributed to all relevant staff, is actively enforced, and has been reviewed within the past 12 months.</t>
  </si>
  <si>
    <t>Cybersecurity or information security policy. Staff acknowledgement records. Policy review log. Acceptable use policy.</t>
  </si>
  <si>
    <t>Identify</t>
  </si>
  <si>
    <t>ID.AM - Asset Management</t>
  </si>
  <si>
    <t>ID.AM-01, ID.AM-02, ID.AM-04</t>
  </si>
  <si>
    <t>Inventories of hardware, software, services, and systems managed by the organization are maintained</t>
  </si>
  <si>
    <t>ID.AM-01-M1</t>
  </si>
  <si>
    <t>Asset Inventory</t>
  </si>
  <si>
    <t>Does the business maintain an up-to-date inventory of all hardware, software, systems, and services it relies on? Is the inventory reviewed and updated when assets change?</t>
  </si>
  <si>
    <t>Asset inventory document, spreadsheet, or IT management tool output. Evidence the inventory was reviewed or updated within the past six months.</t>
  </si>
  <si>
    <t>Score 2 (Implemented): A current, documented inventory of all key hardware, software, and services exists. Updated within the past six months and covers all primary business systems.</t>
  </si>
  <si>
    <t>Hardware register. Software license inventory. Cloud service subscription list. IT asset management tool export. Network scan output.</t>
  </si>
  <si>
    <t>IT Operations</t>
  </si>
  <si>
    <t>ID.RA - Risk Assessment</t>
  </si>
  <si>
    <t>ID.RA-01</t>
  </si>
  <si>
    <t>Vulnerabilities in assets are identified, validated, and recorded</t>
  </si>
  <si>
    <t>ID.RA-01-M1</t>
  </si>
  <si>
    <t>Vulnerability Identification</t>
  </si>
  <si>
    <t>Does the business have a process for identifying vulnerabilities in its assets? Have key assets been assessed recently? Are identified vulnerabilities recorded and tracked to remediation?</t>
  </si>
  <si>
    <t>Vulnerability scan reports or assessment output. Vulnerability register or remediation log. Evidence of recent assessment activity.</t>
  </si>
  <si>
    <t>Score 2 (Implemented): A documented vulnerability identification process exists. Key assets have been scanned or assessed within the past 12 months. Vulnerabilities are tracked to remediation in a register.</t>
  </si>
  <si>
    <t>Vulnerability scanner output. Penetration test report. Vulnerability register. Patch management records.</t>
  </si>
  <si>
    <t>ID.IM - Improvement</t>
  </si>
  <si>
    <t>ID.IM-01</t>
  </si>
  <si>
    <t>Improvements are identified from evaluations</t>
  </si>
  <si>
    <t>ID.IM-01-M1</t>
  </si>
  <si>
    <t>Cybersecurity Program Effectiveness</t>
  </si>
  <si>
    <t>Does the business assess the effectiveness of its cybersecurity program and identify areas requiring improvement? Are improvement actions tracked and completed?</t>
  </si>
  <si>
    <t>Assessment results or self-evaluation documentation. Improvement action log. Evidence of changes made to security controls or processes based on evaluation outcomes.</t>
  </si>
  <si>
    <t>Score 2 (Implemented): A documented process for evaluating cybersecurity program effectiveness exists. Improvement areas are identified, recorded, and tracked to completion.</t>
  </si>
  <si>
    <t>Security program review documentation. Audit findings and responses. Improvement action register. Prior assessment results with follow-up evidence.</t>
  </si>
  <si>
    <t>ID.AM-07</t>
  </si>
  <si>
    <t>Inventories of data and corresponding metadata for designated data types are maintained</t>
  </si>
  <si>
    <t>ID.AM-07-M1</t>
  </si>
  <si>
    <t>Data Inventory and Classification</t>
  </si>
  <si>
    <t>Has the business identified and documented the categories of sensitive data it creates, processes, stores, or transmits? Is data classified by sensitivity and criticality?</t>
  </si>
  <si>
    <t>Data inventory or data register. Data classification policy or scheme. Evidence of recent review. Data flow diagram showing where sensitive data resides.</t>
  </si>
  <si>
    <t>Score 2 (Implemented): A documented data inventory exists covering all primary data types. Data is classified by sensitivity or criticality. The inventory has been reviewed within the past 12 months.</t>
  </si>
  <si>
    <t>Data register or inventory. Data classification scheme. Data flow diagram. Privacy or data protection impact assessment.</t>
  </si>
  <si>
    <t>ID.RA-05</t>
  </si>
  <si>
    <t>Threats, vulnerabilities, likelihoods, and impacts are used to understand inherent risk and inform risk response prioritisation</t>
  </si>
  <si>
    <t>ID.RA-05-M1</t>
  </si>
  <si>
    <t>Threat and Risk Register</t>
  </si>
  <si>
    <t>Does the business maintain a risk register documenting internal and external cybersecurity threats and associated responses? Is the register reviewed and updated regularly?</t>
  </si>
  <si>
    <t>Risk register with cybersecurity entries. Evidence of threat identification process. Records of risk review activity.</t>
  </si>
  <si>
    <t>Score 2 (Implemented): A documented risk register containing cybersecurity threats and response actions exists, reviewed within the past 12 months, and includes both likelihood and impact assessments.</t>
  </si>
  <si>
    <t>Cybersecurity risk register. Threat landscape review. Risk assessment outputs. Insurance or broker risk survey.</t>
  </si>
  <si>
    <t>ID.IM-04</t>
  </si>
  <si>
    <t>Incident response plans incorporate lessons learned and cybersecurity plans are communicated to all staff</t>
  </si>
  <si>
    <t>ID.IM-04-M1</t>
  </si>
  <si>
    <t>Cybersecurity Communication to Staff</t>
  </si>
  <si>
    <t>Are cybersecurity plans, policies, and best practices communicated to all staff and relevant third parties? Do staff understand their individual cybersecurity responsibilities?</t>
  </si>
  <si>
    <t>Evidence of cybersecurity communications to staff. Training records. Policy acknowledgements. Evidence that third parties with access are briefed on expectations.</t>
  </si>
  <si>
    <t>Score 2 (Implemented): Cybersecurity expectations have been communicated to all staff within the past 12 months. Evidence of staff receipt and understanding is available.</t>
  </si>
  <si>
    <t>Staff communication records. Training completion certificates. Policy acknowledgement records. Onboarding materials referencing cybersecurity.</t>
  </si>
  <si>
    <t>Human Resources</t>
  </si>
  <si>
    <t>Protect</t>
  </si>
  <si>
    <t>PR.AA - Identity Management, Authentication, and Access Control</t>
  </si>
  <si>
    <t>PR.AA-05</t>
  </si>
  <si>
    <t>Access permissions, entitlements, and authorizations are defined in a policy, managed, enforced, and reviewed</t>
  </si>
  <si>
    <t>PR.AA-05-M1</t>
  </si>
  <si>
    <t>Access Control and Least Privilege</t>
  </si>
  <si>
    <t>Does the business restrict access to sensitive information and systems to only those employees who need it for their job? Are access permissions reviewed when roles change or staff leave?</t>
  </si>
  <si>
    <t>Access control policy. Evidence of access reviews. Process for revoking access on departure. User account management records.</t>
  </si>
  <si>
    <t>Score 2 (Implemented): An access control policy based on least privilege exists and is enforced. Access reviews are performed at least annually. Access is revoked promptly when staff leave or change roles.</t>
  </si>
  <si>
    <t>Access control policy. User access review records. Leaver process documentation. Active Directory or identity management tool report.</t>
  </si>
  <si>
    <t>PR.AT - Awareness and Training</t>
  </si>
  <si>
    <t>PR.AT-01, PR.AT-02</t>
  </si>
  <si>
    <t>Awareness education is provided to all personnel and individuals in specialized roles are provided with targeted training</t>
  </si>
  <si>
    <t>PR.AT-01-M1</t>
  </si>
  <si>
    <t>Security Awareness Training</t>
  </si>
  <si>
    <t>Do all employees receive cybersecurity awareness training covering phishing recognition, suspicious activity reporting, and safe password practices? Is training delivered at least annually?</t>
  </si>
  <si>
    <t>Training program documentation. Staff completion records. Training content covering key threat types. Evidence of annual or more frequent delivery.</t>
  </si>
  <si>
    <t>Score 2 (Implemented): All staff have completed cybersecurity awareness training within the past 12 months. Training covers phishing, password hygiene, and reporting suspicious activity.</t>
  </si>
  <si>
    <t>Training completion records. Course content or curriculum. Phishing simulation results. New employee onboarding checklist.</t>
  </si>
  <si>
    <t>PR.AA-03</t>
  </si>
  <si>
    <t>Users, services, and hardware are authenticated</t>
  </si>
  <si>
    <t>PR.AA-03-M1</t>
  </si>
  <si>
    <t>Multi-Factor Authentication</t>
  </si>
  <si>
    <t>Is multi-factor authentication (MFA) enabled on all business accounts that offer it including email, banking, accounting, payment systems, cloud services, and remote access? Is MFA enforced rather than optional?</t>
  </si>
  <si>
    <t>MFA configuration screenshots or audit report. List of systems with MFA enabled. Evidence that MFA is enforced at the system or policy level.</t>
  </si>
  <si>
    <t>Score 2 (Implemented): MFA is enabled and enforced on all business-critical accounts and systems that offer it. An inventory of MFA-enabled systems is maintained.</t>
  </si>
  <si>
    <t>Azure AD or Google Workspace MFA policy. Email MFA configuration. Banking and payment platform MFA settings. Remote access MFA configuration.</t>
  </si>
  <si>
    <t>PR.AA-01</t>
  </si>
  <si>
    <t>The identities and credentials of authorized users, services, and hardware are managed by the organization</t>
  </si>
  <si>
    <t>PR.AA-01-M1</t>
  </si>
  <si>
    <t>Credential and Password Management</t>
  </si>
  <si>
    <t>Has the business changed all default manufacturer passwords on devices and services? Does the business use a password manager or enforce strong password policies? Are shared accounts avoided?</t>
  </si>
  <si>
    <t>Password policy document. Evidence of default password change on routers, switches, printers, and other devices. Password manager adoption evidence.</t>
  </si>
  <si>
    <t>Score 2 (Implemented): Default manufacturer passwords have been changed on all devices. A password policy is in place and enforced. A password manager is used by all staff or strong password requirements are technically enforced.</t>
  </si>
  <si>
    <t>Network device configuration records. Password manager subscription or policy. Password policy document. Account creation standards.</t>
  </si>
  <si>
    <t>PR.PS - Platform Security</t>
  </si>
  <si>
    <t>PR.PS-02</t>
  </si>
  <si>
    <t>Software is maintained, replaced, and removed commensurate with risk</t>
  </si>
  <si>
    <t>PR.PS-02-M1</t>
  </si>
  <si>
    <t>Software Patching and Updates</t>
  </si>
  <si>
    <t>Are all software applications, operating systems, and firmware kept up to date with security patches? Is automatic updating enabled where available? Are critical patches applied promptly?</t>
  </si>
  <si>
    <t>Patch management process documentation. Evidence of recent patch application: OS update history, software version reports. Automated update configuration.</t>
  </si>
  <si>
    <t>Score 2 (Implemented): All primary operating systems and software are kept current with security patches. Automatic updates are enabled where possible. Critical patches are applied within 14 days of release.</t>
  </si>
  <si>
    <t>Windows Update or WSUS report. macOS update history. Mobile device management compliance report. Patch management tool output.</t>
  </si>
  <si>
    <t>PR.DS - Data Security</t>
  </si>
  <si>
    <t>PR.DS-11</t>
  </si>
  <si>
    <t>Backups of data are created, protected, maintained, and tested</t>
  </si>
  <si>
    <t>PR.DS-11-M1</t>
  </si>
  <si>
    <t>Data Backup and Recovery Testing</t>
  </si>
  <si>
    <t>Are business data backups created regularly and stored securely and separately from primary systems? Are backups tested to confirm successful restoration? Is there a documented backup schedule?</t>
  </si>
  <si>
    <t>Backup schedule and configuration documentation. Evidence of recent backup completion: logs or cloud backup report. Evidence of restoration test: test recovery log or result record.</t>
  </si>
  <si>
    <t>Score 2 (Implemented): Backups are created at least daily for critical data. Backups are stored in a separate location from primary systems. Restoration has been tested within the past six months and confirmed successful.</t>
  </si>
  <si>
    <t>Backup software or cloud backup service report. Backup schedule configuration. Restoration test record. Off-site or cloud storage confirmation.</t>
  </si>
  <si>
    <t>PR.DS-01</t>
  </si>
  <si>
    <t>The confidentiality, integrity, and availability of data-at-rest are protected</t>
  </si>
  <si>
    <t>PR.DS-01-M1</t>
  </si>
  <si>
    <t>Device Encryption</t>
  </si>
  <si>
    <t>Are all laptops, tablets, and mobile devices used for business purposes configured with full-disk encryption? Is encryption enabled by policy and verified through device management?</t>
  </si>
  <si>
    <t>Full-disk encryption configuration evidence: BitLocker, FileVault, or MDM compliance report. Device inventory showing encryption status. Policy requiring encryption on portable devices.</t>
  </si>
  <si>
    <t>Score 2 (Implemented): Full-disk encryption is enabled and verified on all business laptops, tablets, and mobile devices. Encryption status is monitored and compliance is enforced.</t>
  </si>
  <si>
    <t>BitLocker or FileVault status report. MDM encryption compliance report. Mobile device policy requiring encryption. Device inventory with encryption status.</t>
  </si>
  <si>
    <t>Detect</t>
  </si>
  <si>
    <t>DE.CM - Continuous Monitoring</t>
  </si>
  <si>
    <t>DE.CM-01</t>
  </si>
  <si>
    <t>Networks and network services are monitored to find potentially adverse events</t>
  </si>
  <si>
    <t>DE.CM-01-M1</t>
  </si>
  <si>
    <t>Incident Indicator Awareness</t>
  </si>
  <si>
    <t>Do staff and management understand the common indicators of a cybersecurity incident? Does the organization have a clear process for staff to report suspected incidents?</t>
  </si>
  <si>
    <t>Staff awareness training content covering incident indicators. Incident reporting procedure or contact list. Evidence that staff have been briefed on what to look for.</t>
  </si>
  <si>
    <t>Score 2 (Implemented): Common incident indicators are documented and communicated to all staff. A clear reporting process exists and all staff are aware of it.</t>
  </si>
  <si>
    <t>Security awareness training materials covering incident indicators. Incident reporting procedure document. Contact list for incident reporting.</t>
  </si>
  <si>
    <t>DE.CM-06, DE.CM-09</t>
  </si>
  <si>
    <t>External service provider activities and computing hardware and software are monitored to find potentially adverse events</t>
  </si>
  <si>
    <t>DE.CM-06-M1</t>
  </si>
  <si>
    <t>Technology and Services Monitoring</t>
  </si>
  <si>
    <t>Does the organization monitor computing technologies, cloud services, and external service providers for deviations from expected behavior? Are alerts reviewed and acted upon?</t>
  </si>
  <si>
    <t>Evidence of monitoring configuration: SIEM, cloud platform security alerts, email threat protection. Process for reviewing and responding to alerts. Evidence of recent alert reviews.</t>
  </si>
  <si>
    <t>Score 2 (Implemented): Monitoring tools are configured and actively used across key technology assets and external services. Alerts are reviewed on a defined schedule and a response process exists.</t>
  </si>
  <si>
    <t>SIEM or log management configuration. Cloud security alert configuration. Email gateway threat report. Alert review records.</t>
  </si>
  <si>
    <t>DE.CM-02</t>
  </si>
  <si>
    <t>The physical environment is monitored to find potentially adverse events</t>
  </si>
  <si>
    <t>DE.CM-02-M1</t>
  </si>
  <si>
    <t>Physical Environment Monitoring</t>
  </si>
  <si>
    <t>Does the organization monitor its physical environment for signs of unauthorized access, tampering, or suspicious activity? Are server rooms and network equipment secured and monitored?</t>
  </si>
  <si>
    <t>Physical access control records. CCTV or physical security system documentation. Evidence of physical security review. Server room access log.</t>
  </si>
  <si>
    <t>Score 2 (Implemented): Physical access to key IT assets is controlled and monitored. Access logs are maintained. The physical environment is assessed for security risks regularly.</t>
  </si>
  <si>
    <t>Physical access control system records. CCTV configuration. Server room access log. Physical security assessment report.</t>
  </si>
  <si>
    <t>Facilities and Physical Security</t>
  </si>
  <si>
    <t>DE.CM-09</t>
  </si>
  <si>
    <t>Computing hardware and software, runtime environments, and their data are monitored to find potentially adverse events</t>
  </si>
  <si>
    <t>DE.CM-09-M1</t>
  </si>
  <si>
    <t>Endpoint Protection</t>
  </si>
  <si>
    <t>Is antivirus and anti-malware software installed, active, and up to date on all business devices? Are endpoint security alerts reviewed and actioned?</t>
  </si>
  <si>
    <t>Antivirus deployment report or MDM compliance report showing AV status. Evidence of up-to-date signature definitions. Alert review records.</t>
  </si>
  <si>
    <t>Score 2 (Implemented): Antivirus or endpoint detection and response (EDR) software is deployed and active on all business devices. Definitions are updated automatically. Alerts are reviewed and actioned.</t>
  </si>
  <si>
    <t>Antivirus management console report. MDM compliance report. Endpoint protection vendor dashboard. Alert log.</t>
  </si>
  <si>
    <t>DE.AE - Adverse Event Analysis</t>
  </si>
  <si>
    <t>DE.AE-06, DE.AE-07</t>
  </si>
  <si>
    <t>Information on adverse events is provided to authorized staff and contextual information is integrated into analysis</t>
  </si>
  <si>
    <t>DE.AE-06-M1</t>
  </si>
  <si>
    <t>Incident Responder Communication and Analysis</t>
  </si>
  <si>
    <t>When a potential incident is detected, does the organization have a process for communicating relevant details to the right staff or external incident responder? Is threat intelligence used to contextualise events?</t>
  </si>
  <si>
    <t>Incident escalation matrix or contact list. Evidence of recent communications to incident responder following a detected event. Threat intelligence subscription or feed configuration.</t>
  </si>
  <si>
    <t>Score 2 (Implemented): A defined escalation process exists for communicating incident details to authorized staff or the designated incident responder. The process has been tested or exercised within the past 12 months.</t>
  </si>
  <si>
    <t>Incident escalation matrix. MSSP service agreement. Incident log or communications record. Threat intelligence subscription.</t>
  </si>
  <si>
    <t>Respond</t>
  </si>
  <si>
    <t>RS.MA - Incident Management</t>
  </si>
  <si>
    <t>RS.MA-01</t>
  </si>
  <si>
    <t>The incident response plan is executed in coordination with relevant third parties once an incident is declared</t>
  </si>
  <si>
    <t>RS.MA-01-M1</t>
  </si>
  <si>
    <t>Incident Response Plan Documentation</t>
  </si>
  <si>
    <t>Does the business have a documented incident response plan? Does it clearly identify who is responsible for each action during an incident? Has the plan been reviewed by all named participants?</t>
  </si>
  <si>
    <t>Documented incident response plan. Named participants with contact details. Evidence of plan review and distribution. Role assignments for incident response activities.</t>
  </si>
  <si>
    <t>Score 2 (Implemented): A documented incident response plan exists, names responsible individuals for each key action, includes internal and external contact information, and has been reviewed within the past 12 months.</t>
  </si>
  <si>
    <t>Incident response plan document. Contact and role matrix. Evidence of plan distribution. MSSP or legal retainer agreement.</t>
  </si>
  <si>
    <t>RS.MA-01-M2</t>
  </si>
  <si>
    <t>Incident Response Capability Testing</t>
  </si>
  <si>
    <t>Has the business tested or exercised its ability to respond to a cybersecurity incident? Has a tabletop exercise or drill been conducted? Are response time targets defined?</t>
  </si>
  <si>
    <t>Tabletop exercise records. Incident drill results. After-action review from a prior exercise or actual incident. Evidence of improvement actions taken following a test.</t>
  </si>
  <si>
    <t>Score 2 (Implemented): The incident response plan has been exercised or tested within the past 12 months. Results have been reviewed and improvement actions have been identified and tracked.</t>
  </si>
  <si>
    <t>Tabletop exercise plan and results. After-action report. Exercise improvement actions log. Training records.</t>
  </si>
  <si>
    <t>RS.AN - Incident Analysis</t>
  </si>
  <si>
    <t>RS.AN-03, RS.MA-03</t>
  </si>
  <si>
    <t>Analysis is performed to establish what occurred during an incident and incidents are categorized and prioritized</t>
  </si>
  <si>
    <t>RS.AN-03-M1</t>
  </si>
  <si>
    <t>Incident Severity Analysis and Root Cause</t>
  </si>
  <si>
    <t>Does the business have a process for determining the severity and root cause of a detected incident? Are incidents categorized by type and prioritized by business impact?</t>
  </si>
  <si>
    <t>Incident categorisation and prioritisation criteria. Evidence from a real or simulated incident of severity assessment. Incident log with category and priority fields.</t>
  </si>
  <si>
    <t>Score 2 (Implemented): Documented criteria for incident categorisation and prioritisation exist. A root cause analysis process is defined. Evidence of application in at least one real or simulated incident is available.</t>
  </si>
  <si>
    <t>Incident categorisation scheme. Incident log or ticket records. Root cause analysis documentation. After-action report.</t>
  </si>
  <si>
    <t>RS.MI - Incident Mitigation</t>
  </si>
  <si>
    <t>RS.MI-01, RS.MI-02</t>
  </si>
  <si>
    <t>Incidents are contained and eradicated</t>
  </si>
  <si>
    <t>RS.MI-01-M1</t>
  </si>
  <si>
    <t>Incident Containment and Eradication</t>
  </si>
  <si>
    <t>Does the business have documented steps for containing and eradicating a cybersecurity incident? Are these steps assigned to named individuals?</t>
  </si>
  <si>
    <t>Incident containment and eradication procedures. Evidence of steps taken during a real or simulated incident. Named owners for containment and eradication activities.</t>
  </si>
  <si>
    <t>Score 2 (Implemented): Documented containment and eradication procedures exist within the incident response plan. Steps are assigned to named individuals. Evidence of application in at least one real or simulated incident is available.</t>
  </si>
  <si>
    <t>Incident response plan containment section. Incident log showing containment steps. Evidence of system isolation or malware removal activity.</t>
  </si>
  <si>
    <t>RS.CO - Incident Response Reporting and Communication</t>
  </si>
  <si>
    <t>RS.CO-02, RS.CO-03</t>
  </si>
  <si>
    <t>Internal and external stakeholders are notified of incidents and information is shared with designated parties</t>
  </si>
  <si>
    <t>RS.CO-02-M1</t>
  </si>
  <si>
    <t>Incident Stakeholder Notification</t>
  </si>
  <si>
    <t>Does the business know its legal and regulatory obligations to notify authorities, customers, and partners following an incident? Is there a defined notification procedure with time limits and named responsibilities?</t>
  </si>
  <si>
    <t>Notification obligations register. Incident communication procedure with time limits. Contact list for regulatory bodies, law enforcement, and affected parties.</t>
  </si>
  <si>
    <t>Score 2 (Implemented): Notification obligations under applicable laws and contracts are documented. A notification procedure with time limits is in place. Responsible individuals for notification are named.</t>
  </si>
  <si>
    <t>Breach notification obligations register. State AG or FTC notification guidance references. Incident communication procedure. Template notification letters.</t>
  </si>
  <si>
    <t>Recover</t>
  </si>
  <si>
    <t>RC.RP - Incident Recovery Plan Execution</t>
  </si>
  <si>
    <t>RC.RP-01</t>
  </si>
  <si>
    <t>The recovery portion of the incident response plan is executed once initiated from the incident response process</t>
  </si>
  <si>
    <t>RC.RP-01-M1</t>
  </si>
  <si>
    <t>Recovery Responsibilities Definition</t>
  </si>
  <si>
    <t>Does the business have a documented recovery plan identifying who is responsible for recovery activities both internally and with external partners? Are recovery responsibilities clearly assigned?</t>
  </si>
  <si>
    <t>Recovery plan document or section within the incident response plan. Named owners for recovery activities. Contact list for external recovery partners.</t>
  </si>
  <si>
    <t>Score 2 (Implemented): Recovery responsibilities are documented and assigned to named individuals. Internal and external recovery contacts are listed and have been briefed on their roles.</t>
  </si>
  <si>
    <t>Recovery plan document. Recovery responsibility assignment. External partner contact list. MSSP or IT support contract with recovery obligations.</t>
  </si>
  <si>
    <t>RC.RP-06</t>
  </si>
  <si>
    <t>The end of incident recovery is declared based on criteria and stakeholder communication regarding incident recovery is executed</t>
  </si>
  <si>
    <t>Tier 3</t>
  </si>
  <si>
    <t>RC.RP-06-M1</t>
  </si>
  <si>
    <t>After-Action Reporting</t>
  </si>
  <si>
    <t>Does the business prepare an after-action report following a cybersecurity incident or recovery exercise? Does the report document what happened, what was done, and lessons learned?</t>
  </si>
  <si>
    <t>After-action report or lessons learned document from a prior incident or exercise. Evidence that the report has been reviewed by leadership. Improvement actions resulting from the review.</t>
  </si>
  <si>
    <t>Score 2 (Implemented): A process for preparing after-action reports is documented. An after-action report exists from a real or simulated incident within the past 24 months. Improvement actions are tracked.</t>
  </si>
  <si>
    <t>After-action report. Lessons learned log. Improvement action register. Leadership review record.</t>
  </si>
  <si>
    <t>RC.RP-03</t>
  </si>
  <si>
    <t>The integrity of backups and other restoration assets is verified before using them for restoration</t>
  </si>
  <si>
    <t>RC.RP-03-M1</t>
  </si>
  <si>
    <t>Backup Integrity Verification</t>
  </si>
  <si>
    <t>Does the business verify the integrity of backed-up data before using it for restoration? Is there a documented process for checking that backups are complete and uncorrupted?</t>
  </si>
  <si>
    <t>Backup integrity verification procedure. Evidence of backup test restores: restoration test log or checksum verification records. Backup completion reports confirming successful write.</t>
  </si>
  <si>
    <t>Score 2 (Implemented): A documented procedure for verifying backup integrity exists. Test restorations are performed at least quarterly and results are recorded. Backup logs confirm successful completion.</t>
  </si>
  <si>
    <t>Backup integrity check procedure. Restoration test log. Backup completion report. Cloud backup verification screenshot.</t>
  </si>
  <si>
    <t>RC.RP-02</t>
  </si>
  <si>
    <t>Recovery actions are selected, scoped, prioritized, and performed</t>
  </si>
  <si>
    <t>RC.RP-02-M1</t>
  </si>
  <si>
    <t>Recovery Action Prioritisation</t>
  </si>
  <si>
    <t>Does the business have a documented process for prioritizing which systems and services are recovered first following an incident? Is recovery order based on criticality to business operations?</t>
  </si>
  <si>
    <t>Recovery prioritisation documentation. Recovery playbook or runbook with system restoration order. Business impact analysis (BIA) informing recovery priority.</t>
  </si>
  <si>
    <t>Score 2 (Implemented): A documented recovery priority order exists for key systems and services based on business criticality. The prioritisation is informed by the BIA and has been reviewed within the past 12 months.</t>
  </si>
  <si>
    <t>Recovery plan with system restoration priority order. Business impact analysis. Recovery runbook. RTO and RPO documentation for critical systems.</t>
  </si>
  <si>
    <t>RC.CO - Incident Recovery Communication</t>
  </si>
  <si>
    <t>RC.CO-03</t>
  </si>
  <si>
    <t>Recovery activities and progress are communicated to designated internal and external stakeholders</t>
  </si>
  <si>
    <t>RC.CO-03-M1</t>
  </si>
  <si>
    <t>Recovery Progress Communication</t>
  </si>
  <si>
    <t>During and after an incident, does the business have a process for communicating recovery progress to staff, customers, and relevant external parties? Are communication responsibilities assigned?</t>
  </si>
  <si>
    <t>Recovery communication plan or section within the incident response plan. Named individuals responsible for stakeholder communication. Template communications for staff, customers, and partners.</t>
  </si>
  <si>
    <t>Score 2 (Implemented): A documented process for communicating recovery progress is in place. Communication responsibilities are assigned. Template communications are prepared for key stakeholder groups.</t>
  </si>
  <si>
    <t>Recovery communication plan. Stakeholder contact list. Template communications. Evidence of communications from a prior incident or exercise.</t>
  </si>
  <si>
    <t>RC.RP-06-M2</t>
  </si>
  <si>
    <t>Incident Closure and Resumption Declaration</t>
  </si>
  <si>
    <t>Does the business have documented criteria for declaring the end of an incident and resumption of normal operations? Is there a formal sign-off process for incident closure?</t>
  </si>
  <si>
    <t>Incident closure criteria documentation. Evidence of a formal closure declaration from a prior incident or exercise. Sign-off process or approval record.</t>
  </si>
  <si>
    <t>Score 2 (Implemented): Documented criteria for declaring incident closure exist. A formal sign-off process is in place. Evidence of application in at least one real or simulated incident is available.</t>
  </si>
  <si>
    <t>Incident closure criteria document. Incident ticket showing closure sign-off. After-action report confirming resumption of normal operations.</t>
  </si>
  <si>
    <t>ASSESSMENT DASHBOARD</t>
  </si>
  <si>
    <t>All panels update automatically as scores are entered in the Controls Assessment sheet.</t>
  </si>
  <si>
    <t>Panel 1   Assessment Readiness Summary</t>
  </si>
  <si>
    <t>Count</t>
  </si>
  <si>
    <t>% of Total</t>
  </si>
  <si>
    <t>Cumulative</t>
  </si>
  <si>
    <t>Total</t>
  </si>
  <si>
    <t>Panel 2   Function Pass Rate</t>
  </si>
  <si>
    <t>PARTIAL / FAIL</t>
  </si>
  <si>
    <t>All Functions</t>
  </si>
  <si>
    <t>Panel 3   Evidence Completeness Tracker</t>
  </si>
  <si>
    <t>Stage</t>
  </si>
  <si>
    <t>Completed</t>
  </si>
  <si>
    <t>Remaining</t>
  </si>
  <si>
    <t>% Complete</t>
  </si>
  <si>
    <t>Stage 1 - Assessed (Col K scored)</t>
  </si>
  <si>
    <t>Stage 2 - Evidence Collected (Col P)</t>
  </si>
  <si>
    <t>Stage 3 - Reviewed and Signed Off (Col V)</t>
  </si>
  <si>
    <t>Panel 4   Key Contact Coverage</t>
  </si>
  <si>
    <t>Metric</t>
  </si>
  <si>
    <t>Value</t>
  </si>
  <si>
    <t>% Coverage</t>
  </si>
  <si>
    <t>Metrics with Named Contact</t>
  </si>
  <si>
    <t>Metrics without Named Contact</t>
  </si>
  <si>
    <t>Total Metrics</t>
  </si>
  <si>
    <t>Panel 5   Assessment Burden by Responsible Team</t>
  </si>
  <si>
    <t>Responsible Team</t>
  </si>
  <si>
    <t>Metric Count</t>
  </si>
  <si>
    <t>Panel 6   Action Status Heat Map</t>
  </si>
  <si>
    <t>Metric Ref</t>
  </si>
  <si>
    <t>ASSESSMENT DETAIL CAPTURE</t>
  </si>
  <si>
    <t>Use this sheet to document multiple evidence items per metric. Enter the Metric Reference from Column F of the Controls Assessment to link each record. Add one row per evidence item.</t>
  </si>
  <si>
    <t>Column Guide</t>
  </si>
  <si>
    <t>Enter the Metric Reference from Column F of the Controls Assessment sheet (e.g. GV.OC-01-M1).</t>
  </si>
  <si>
    <t>Evidence Item No</t>
  </si>
  <si>
    <t>Sequential number per metric (1, 2, 3...). Add a new row for each additional evidence item.</t>
  </si>
  <si>
    <t>Evidence Type</t>
  </si>
  <si>
    <t>Select: Document / Interview / Observation / System Output / Configuration.</t>
  </si>
  <si>
    <t>Evidence Title</t>
  </si>
  <si>
    <t>Full name of the document, report, or source.</t>
  </si>
  <si>
    <t>Source Reference</t>
  </si>
  <si>
    <t>Version, date, URL, system identifier, or other locating reference.</t>
  </si>
  <si>
    <t>Provided By</t>
  </si>
  <si>
    <t>Name and role of the individual who provided or confirmed this evidence item.</t>
  </si>
  <si>
    <t>Date Received</t>
  </si>
  <si>
    <t>Date the evidence item was obtained or reviewed.</t>
  </si>
  <si>
    <t>Evidence Summary</t>
  </si>
  <si>
    <t>Summary of what this evidence item demonstrates in relation to the metric.</t>
  </si>
  <si>
    <t>Assessor Judgement</t>
  </si>
  <si>
    <t>How this evidence item informs the assessed score for this metric.</t>
  </si>
  <si>
    <t>Gaps or Caveats</t>
  </si>
  <si>
    <t>Any limitations, gaps, or caveats applicable to this evidence item.</t>
  </si>
  <si>
    <t>REMEDIATION PLAN</t>
  </si>
  <si>
    <t>Actions scoring Partial or Not Started appear as active remediation tasks. Actions scoring Implemented are automatically dimmed. Assign owners and target dates to build your remediation roadmap.</t>
  </si>
  <si>
    <t>Remediation Start Date</t>
  </si>
  <si>
    <t>Calculated automatically as 14 days after Assessment Completion Date on Cover sheet.</t>
  </si>
  <si>
    <t>Task Details</t>
  </si>
  <si>
    <t>Remediation Timeline (12 Weeks)</t>
  </si>
  <si>
    <t>Function</t>
  </si>
  <si>
    <t>Action</t>
  </si>
  <si>
    <t>Current Status</t>
  </si>
  <si>
    <t>Priority</t>
  </si>
  <si>
    <t>Owner</t>
  </si>
  <si>
    <t>Target Date</t>
  </si>
  <si>
    <t>Start Wk</t>
  </si>
  <si>
    <t>Duration</t>
  </si>
  <si>
    <t>Wk 1</t>
  </si>
  <si>
    <t>Wk 2</t>
  </si>
  <si>
    <t>Wk 3</t>
  </si>
  <si>
    <t>Wk 4</t>
  </si>
  <si>
    <t>Wk 5</t>
  </si>
  <si>
    <t>Wk 6</t>
  </si>
  <si>
    <t>Wk 7</t>
  </si>
  <si>
    <t>Wk 8</t>
  </si>
  <si>
    <t>Wk 9</t>
  </si>
  <si>
    <t>Wk 10</t>
  </si>
  <si>
    <t>Wk 11</t>
  </si>
  <si>
    <t>Wk 12</t>
  </si>
  <si>
    <t>RAID LOG</t>
  </si>
  <si>
    <t>Capture risks, assumptions, issues, and dependencies across the assessment program. Filter column B (Type) to work within a single category.</t>
  </si>
  <si>
    <t>RAID ID</t>
  </si>
  <si>
    <t>Type</t>
  </si>
  <si>
    <t>Title</t>
  </si>
  <si>
    <t>Date Raised</t>
  </si>
  <si>
    <t>Raised By</t>
  </si>
  <si>
    <t>Probability</t>
  </si>
  <si>
    <t>Impact</t>
  </si>
  <si>
    <t>Score</t>
  </si>
  <si>
    <t>Mitigation / Action</t>
  </si>
  <si>
    <t>Resolution Date</t>
  </si>
  <si>
    <t>Notes</t>
  </si>
  <si>
    <t>R001</t>
  </si>
  <si>
    <t>Risk</t>
  </si>
  <si>
    <t>Resource</t>
  </si>
  <si>
    <t>Key IT staff unavailable during assessment</t>
  </si>
  <si>
    <t>The individual or team responsible for IT operations may not be available throughout the assessment period, limiting access to evidence and system configuration data.</t>
  </si>
  <si>
    <t>High</t>
  </si>
  <si>
    <t>Medium</t>
  </si>
  <si>
    <t>IT Manager</t>
  </si>
  <si>
    <t>Identify a deputy contact and brief them on evidence requirements before assessment commences.</t>
  </si>
  <si>
    <t>Open</t>
  </si>
  <si>
    <t>R002</t>
  </si>
  <si>
    <t>Technical</t>
  </si>
  <si>
    <t>Evidence for supplier assessments unavailable</t>
  </si>
  <si>
    <t>Supplier contracts and security questionnaire responses may not be readily accessible, impacting assessment of GV.SC-06 and related supply chain metrics.</t>
  </si>
  <si>
    <t>Request supplier documentation from procurement at least two weeks before fieldwork begins.</t>
  </si>
  <si>
    <t>A001</t>
  </si>
  <si>
    <t>Assumption</t>
  </si>
  <si>
    <t>Program</t>
  </si>
  <si>
    <t>At least one named IT owner is available</t>
  </si>
  <si>
    <t>The assessment assumes that a named individual with IT operational knowledge is available to provide evidence and answer queries throughout the assessment period.</t>
  </si>
  <si>
    <t>Confirm IT owner availability and obtain written commitment before assessment begins.</t>
  </si>
  <si>
    <t>A002</t>
  </si>
  <si>
    <t>Cloud services have been identified before assessment</t>
  </si>
  <si>
    <t>The assessment assumes that the organization has at least a working list of cloud platforms and SaaS applications in use, sufficient to complete the Business and Technology Context sheet.</t>
  </si>
  <si>
    <t>Low</t>
  </si>
  <si>
    <t>Complete the Business and Technology Context sheet before opening the Controls Assessment.</t>
  </si>
  <si>
    <t>D001</t>
  </si>
  <si>
    <t>Dependency</t>
  </si>
  <si>
    <t>Evidence gathering depends on multiple departments</t>
  </si>
  <si>
    <t>Assessment Detail Capture completion depends on evidence being gathered from IT Operations, Human Resources, Legal, Finance, and Leadership. Delays in any department will impact overall assessment progress.</t>
  </si>
  <si>
    <t>Issue evidence request list to all responsible teams at program kick-off.</t>
  </si>
  <si>
    <t>D002</t>
  </si>
  <si>
    <t>Remediation resourcing depends on IT Operations availability</t>
  </si>
  <si>
    <t>The Remediation Plan assumes that IT Operations has sufficient capacity to execute remediation actions alongside business-as-usual activities. Capacity constraints will delay target dates.</t>
  </si>
  <si>
    <t>Agree remediation capacity allocation with IT Operations before assigning target dates in the Remediation Plan.</t>
  </si>
  <si>
    <t>I001</t>
  </si>
  <si>
    <t>Issue</t>
  </si>
  <si>
    <t>(Add issues as they arise during the assessment)</t>
  </si>
  <si>
    <t>RISK REGISTER</t>
  </si>
  <si>
    <t>Links assessment findings to enterprise risk language. Source Metric references Column F of the Controls Assessment sheet. Inherent Score and Residual Score are auto-calculated.</t>
  </si>
  <si>
    <t>Risk ID</t>
  </si>
  <si>
    <t>Source Metric</t>
  </si>
  <si>
    <t>Risk Title</t>
  </si>
  <si>
    <t>Risk Description</t>
  </si>
  <si>
    <t>Risk Category</t>
  </si>
  <si>
    <t>Likelihood (1-5)</t>
  </si>
  <si>
    <t>Impact (1-5)</t>
  </si>
  <si>
    <t>Inherent Score</t>
  </si>
  <si>
    <t>Existing Controls</t>
  </si>
  <si>
    <t>Residual Likelihood</t>
  </si>
  <si>
    <t>Residual Impact</t>
  </si>
  <si>
    <t>Residual Score</t>
  </si>
  <si>
    <t>Risk Owner</t>
  </si>
  <si>
    <t>Recommended Action</t>
  </si>
  <si>
    <t>RR-001</t>
  </si>
  <si>
    <t>Absence of Formal Cybersecurity Policy</t>
  </si>
  <si>
    <t>Without a documented and enforced cybersecurity policy, staff behavior is ungoverned and the organization cannot demonstrate a baseline of security expectations to customers, insurers, or regulators.</t>
  </si>
  <si>
    <t>Compliance</t>
  </si>
  <si>
    <t>3</t>
  </si>
  <si>
    <t>4</t>
  </si>
  <si>
    <t>None identified.</t>
  </si>
  <si>
    <t>Develop and publish a cybersecurity policy as a priority remediation action. Assign a named policy owner.</t>
  </si>
  <si>
    <t>RR-002</t>
  </si>
  <si>
    <t>Accounts Compromised Due to Absence of MFA</t>
  </si>
  <si>
    <t>Without multi-factor authentication, business email and cloud service accounts are highly vulnerable to credential stuffing and phishing attacks, which remain the leading cause of SMB data breaches.</t>
  </si>
  <si>
    <t>Confidentiality</t>
  </si>
  <si>
    <t>5</t>
  </si>
  <si>
    <t>Password policy in place.</t>
  </si>
  <si>
    <t>Enable and enforce MFA on all accounts that support it as an immediate remediation priority.</t>
  </si>
  <si>
    <t>RR-003</t>
  </si>
  <si>
    <t>Data Loss Due to Untested Backup Process</t>
  </si>
  <si>
    <t>If backup processes have not been tested, there is no assurance that data can be restored following ransomware, hardware failure, or accidental deletion. Recovery time may be materially longer than expected.</t>
  </si>
  <si>
    <t>Availability</t>
  </si>
  <si>
    <t>Backups scheduled daily.</t>
  </si>
  <si>
    <t>Conduct a full restoration test and document the result. Schedule quarterly restoration tests going forward.</t>
  </si>
  <si>
    <t>RR-004</t>
  </si>
  <si>
    <t>Uncoordinated Incident Response Causing Extended Downtime</t>
  </si>
  <si>
    <t>Without a documented and tested incident response plan, the business is likely to respond to a cybersecurity incident in an uncoordinated manner, extending downtime and increasing the risk of regulatory breach.</t>
  </si>
  <si>
    <t>Operational</t>
  </si>
  <si>
    <t>Develop an incident response plan and conduct a tabletop exercise with key participants.</t>
  </si>
  <si>
    <t>STAKEHOLDER REGISTER</t>
  </si>
  <si>
    <t>Record all individuals and functions with a material interest in the assessment program. Use this register to plan engagement and ensure key contacts are captured in Column S of the Controls Assessment.</t>
  </si>
  <si>
    <t>Stakeholder ID</t>
  </si>
  <si>
    <t>Name</t>
  </si>
  <si>
    <t>Role and Title</t>
  </si>
  <si>
    <t>Organization / Dept</t>
  </si>
  <si>
    <t>Interest in Program</t>
  </si>
  <si>
    <t>Influence Level</t>
  </si>
  <si>
    <t>Engagement Approach</t>
  </si>
  <si>
    <t>Key Assessment Topics</t>
  </si>
  <si>
    <t>Last Engaged</t>
  </si>
  <si>
    <t>Next Action</t>
  </si>
  <si>
    <t>SH001</t>
  </si>
  <si>
    <t>Business Owner / CEO</t>
  </si>
  <si>
    <t>Leadership</t>
  </si>
  <si>
    <t>Overall program progress, regulatory exposure, cyber insurance implications, and resource decisions.</t>
  </si>
  <si>
    <t>Lead</t>
  </si>
  <si>
    <t>GV.OC, GV.RM, GV.RR, GV.PO</t>
  </si>
  <si>
    <t>SH002</t>
  </si>
  <si>
    <t>IT Manager or MSP Lead</t>
  </si>
  <si>
    <t>Technical evidence provision across all Protect, Detect, and infrastructure-related metrics.</t>
  </si>
  <si>
    <t>Collaborate</t>
  </si>
  <si>
    <t>PR.AA, PR.PS, PR.DS, DE.CM, RC.RP</t>
  </si>
  <si>
    <t>SH003</t>
  </si>
  <si>
    <t>Finance / Accounting Lead</t>
  </si>
  <si>
    <t>Finance</t>
  </si>
  <si>
    <t>Access to financial systems evidence, payment card data scope, cyber insurance policy details.</t>
  </si>
  <si>
    <t>Consult</t>
  </si>
  <si>
    <t>PR.DS, GV.RM-04, RS.CO</t>
  </si>
  <si>
    <t>SH004</t>
  </si>
  <si>
    <t>HR / People Manager</t>
  </si>
  <si>
    <t>Staff awareness training records, onboarding process documentation, leavers access revocation.</t>
  </si>
  <si>
    <t>PR.AT, PR.AA-01, ID.IM-04</t>
  </si>
  <si>
    <t>SH005</t>
  </si>
  <si>
    <t>Legal / Compliance Lead</t>
  </si>
  <si>
    <t>Regulatory obligation register, notification requirements, contractual security clauses.</t>
  </si>
  <si>
    <t>GV.OC-03, RS.CO-02, RS.CO-03</t>
  </si>
  <si>
    <t>SH006</t>
  </si>
  <si>
    <t>Procurement Lead</t>
  </si>
  <si>
    <t>Procurement</t>
  </si>
  <si>
    <t>Supplier contracts, vendor onboarding process, third-party access records.</t>
  </si>
  <si>
    <t>REMEDIATION INDEX  --  Working Sheet. Do not edit any cell in this sheet directly.</t>
  </si>
  <si>
    <t>All values in this sheet are formula-driven from the Controls Assessment. This sheet drives the Visibility Flag used by the Remediation Plan to show or dim each action row. Editing cells here will break the Remediation Plan linkage.</t>
  </si>
  <si>
    <t>Show in Remediation Plan</t>
  </si>
  <si>
    <t>Published</t>
  </si>
  <si>
    <t>Copyright 2026 Cyber Native. All rights reserved.    Contact: hello@cybernative.uk</t>
  </si>
  <si>
    <t>The Framework may not be used for commercial purposes. This includes, without limitation, paid consulting or advisory engagements delivered to third-party clients; embedding the assessment logic or methodology in a commercial software or SaaS product; and use as a primary resource in paid training, workshops, or certification programs. Commercial use requires a separate license from Cyber Native. Contact hello@cybernative.uk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</si>
</sst>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3" x14ac:knownFonts="1">
    <font>
      <sz val="11"/>
      <color theme="1"/>
      <name val="Calibri"/>
      <family val="2"/>
      <scheme val="minor"/>
    </font>
    <font>
      <sz val="7"/>
      <color rgb="FFFFFFFF"/>
      <name val="Arial"/>
    </font>
    <font>
      <b/>
      <sz val="14"/>
      <color rgb="FFFFFFFF"/>
      <name val="Arial"/>
    </font>
    <font>
      <b/>
      <sz val="12"/>
      <color rgb="FFFFFFFF"/>
      <name val="Arial"/>
    </font>
    <font>
      <sz val="10"/>
      <color rgb="FFEBF0F5"/>
      <name val="Arial"/>
    </font>
    <font>
      <i/>
      <sz val="9"/>
      <color rgb="FFEBF0F5"/>
      <name val="Arial"/>
    </font>
    <font>
      <b/>
      <sz val="11"/>
      <color rgb="FFFFFFFF"/>
      <name val="Arial"/>
    </font>
    <font>
      <b/>
      <sz val="10"/>
      <color rgb="FF1A4FBF"/>
      <name val="Arial"/>
    </font>
    <font>
      <sz val="10"/>
      <color rgb="FF3D5A72"/>
      <name val="Arial"/>
    </font>
    <font>
      <b/>
      <sz val="10"/>
      <color rgb="FFFFFFFF"/>
      <name val="Arial"/>
    </font>
    <font>
      <i/>
      <sz val="9"/>
      <color rgb="FFFFFFFF"/>
      <name val="Arial"/>
    </font>
    <font>
      <b/>
      <sz val="15"/>
      <color rgb="FFFFFFFF"/>
      <name val="Arial"/>
    </font>
    <font>
      <b/>
      <sz val="10"/>
      <color rgb="FF3D5A72"/>
      <name val="Arial"/>
    </font>
    <font>
      <i/>
      <sz val="10"/>
      <color rgb="FF3D5A72"/>
      <name val="Arial"/>
    </font>
    <font>
      <i/>
      <sz val="9"/>
      <color rgb="FF6B8EAA"/>
      <name val="Arial"/>
    </font>
    <font>
      <b/>
      <sz val="10"/>
      <color rgb="FF217346"/>
      <name val="Arial"/>
    </font>
    <font>
      <b/>
      <sz val="10"/>
      <color rgb="FFC45911"/>
      <name val="Arial"/>
    </font>
    <font>
      <b/>
      <sz val="10"/>
      <color rgb="FF9C1F1F"/>
      <name val="Arial"/>
    </font>
    <font>
      <b/>
      <sz val="10"/>
      <color rgb="FF6B8EAA"/>
      <name val="Arial"/>
    </font>
    <font>
      <b/>
      <sz val="10"/>
      <color rgb="FF0D2236"/>
      <name val="Arial"/>
    </font>
    <font>
      <i/>
      <sz val="10"/>
      <color rgb="FF6B8EAA"/>
      <name val="Arial"/>
    </font>
    <font>
      <sz val="10"/>
      <color rgb="FF6B8EAA"/>
      <name val="Arial"/>
    </font>
    <font>
      <sz val="10"/>
      <color rgb="FF217346"/>
      <name val="Arial"/>
    </font>
    <font>
      <sz val="10"/>
      <color rgb="FFC45911"/>
      <name val="Arial"/>
    </font>
    <font>
      <sz val="10"/>
      <color rgb="FF9C1F1F"/>
      <name val="Arial"/>
    </font>
    <font>
      <b/>
      <sz val="13"/>
      <color rgb="FFFFFFFF"/>
      <name val="Arial"/>
    </font>
    <font>
      <i/>
      <sz val="10"/>
      <color rgb="FF1A4FBF"/>
      <name val="Arial"/>
    </font>
    <font>
      <i/>
      <sz val="9"/>
      <color rgb="FF3D5A72"/>
      <name val="Arial"/>
    </font>
    <font>
      <b/>
      <sz val="9"/>
      <color rgb="FFFFFFFF"/>
      <name val="Arial"/>
    </font>
    <font>
      <b/>
      <sz val="8"/>
      <color rgb="FFFFFFFF"/>
      <name val="Arial"/>
    </font>
    <font>
      <sz val="8"/>
      <color rgb="FFFFFFFF"/>
      <name val="Arial"/>
    </font>
    <font>
      <b/>
      <sz val="9"/>
      <color rgb="FF1A4FBF"/>
      <name val="Arial"/>
    </font>
    <font>
      <sz val="9"/>
      <color rgb="FF3D5A72"/>
      <name val="Arial"/>
    </font>
  </fonts>
  <fills count="20">
    <fill>
      <patternFill patternType="none"/>
    </fill>
    <fill>
      <patternFill patternType="gray125"/>
    </fill>
    <fill>
      <patternFill patternType="solid">
        <fgColor rgb="FFFFFFFF"/>
      </patternFill>
    </fill>
    <fill>
      <patternFill patternType="solid">
        <fgColor rgb="FF1C3A54"/>
      </patternFill>
    </fill>
    <fill>
      <patternFill patternType="solid">
        <fgColor rgb="FF1A4FBF"/>
      </patternFill>
    </fill>
    <fill>
      <patternFill patternType="solid">
        <fgColor rgb="FFE2EAF2"/>
      </patternFill>
    </fill>
    <fill>
      <patternFill patternType="solid">
        <fgColor rgb="FFEBF0F5"/>
      </patternFill>
    </fill>
    <fill>
      <patternFill patternType="solid">
        <fgColor rgb="FFD6E2ED"/>
      </patternFill>
    </fill>
    <fill>
      <patternFill patternType="solid">
        <fgColor rgb="FFC6EFCE"/>
      </patternFill>
    </fill>
    <fill>
      <patternFill patternType="solid">
        <fgColor rgb="FFFCE4D6"/>
      </patternFill>
    </fill>
    <fill>
      <patternFill patternType="solid">
        <fgColor rgb="FFFFC7CE"/>
      </patternFill>
    </fill>
    <fill>
      <patternFill patternType="solid">
        <fgColor rgb="FFF2F2F2"/>
      </patternFill>
    </fill>
    <fill>
      <patternFill patternType="solid">
        <fgColor rgb="FFD6E8F5"/>
      </patternFill>
    </fill>
    <fill>
      <patternFill patternType="solid">
        <fgColor rgb="FFD6EFE8"/>
      </patternFill>
    </fill>
    <fill>
      <patternFill patternType="solid">
        <fgColor rgb="FFE8E0F0"/>
      </patternFill>
    </fill>
    <fill>
      <patternFill patternType="solid">
        <fgColor rgb="FFFEF3C7"/>
      </patternFill>
    </fill>
    <fill>
      <patternFill patternType="solid">
        <fgColor rgb="FFFEE2E2"/>
      </patternFill>
    </fill>
    <fill>
      <patternFill patternType="solid">
        <fgColor rgb="FFEDE9FE"/>
      </patternFill>
    </fill>
    <fill>
      <patternFill patternType="solid">
        <fgColor rgb="FFA6A6A6"/>
      </patternFill>
    </fill>
    <fill>
      <patternFill patternType="solid">
        <fgColor rgb="FF0E7490"/>
      </patternFill>
    </fill>
  </fills>
  <borders count="6">
    <border>
      <left/>
      <right/>
      <top/>
      <bottom/>
      <diagonal/>
    </border>
    <border>
      <left/>
      <right/>
      <top/>
      <bottom style="thin">
        <color rgb="FFB8CCE0"/>
      </bottom>
      <diagonal/>
    </border>
    <border>
      <left/>
      <right/>
      <top/>
      <bottom style="thin">
        <color rgb="FFB8CCE0"/>
      </bottom>
      <diagonal/>
    </border>
    <border>
      <left/>
      <right/>
      <top/>
      <bottom style="thin">
        <color rgb="FFB8CCE0"/>
      </bottom>
      <diagonal/>
    </border>
    <border>
      <left/>
      <right style="thin">
        <color rgb="FFB8CCE0"/>
      </right>
      <top/>
      <bottom style="thin">
        <color rgb="FFB8CCE0"/>
      </bottom>
      <diagonal/>
    </border>
    <border>
      <left/>
      <right style="thin">
        <color rgb="FFB8CCE0"/>
      </right>
      <top/>
      <bottom style="thin">
        <color rgb="FFB8CCE0"/>
      </bottom>
      <diagonal/>
    </border>
  </borders>
  <cellStyleXfs count="1">
    <xf numFmtId="0" fontId="0" fillId="0" borderId="0"/>
  </cellStyleXfs>
  <cellXfs count="161">
    <xf numFmtId="0" fontId="0" fillId="0" borderId="0" xfId="0"/>
    <xf numFmtId="0" fontId="0" fillId="2" borderId="0" xfId="0" applyFill="1"/>
    <xf numFmtId="0" fontId="1" fillId="0" borderId="0" xfId="0" applyFont="1"/>
    <xf numFmtId="0" fontId="0" fillId="3" borderId="0" xfId="0" applyFill="1"/>
    <xf numFmtId="0" fontId="0" fillId="4" borderId="0" xfId="0" applyFill="1"/>
    <xf numFmtId="0" fontId="0" fillId="5" borderId="0" xfId="0" applyFill="1"/>
    <xf numFmtId="0" fontId="7" fillId="5" borderId="0" xfId="0" applyFont="1" applyFill="1" applyAlignment="1">
      <alignment horizontal="left" vertical="top" wrapText="1"/>
    </xf>
    <xf numFmtId="0" fontId="8" fillId="5" borderId="0" xfId="0" applyFont="1" applyFill="1" applyAlignment="1">
      <alignment horizontal="left" vertical="top" wrapText="1"/>
    </xf>
    <xf numFmtId="0" fontId="0" fillId="6" borderId="0" xfId="0" applyFill="1"/>
    <xf numFmtId="0" fontId="7" fillId="6" borderId="0" xfId="0" applyFont="1" applyFill="1" applyAlignment="1">
      <alignment horizontal="left" vertical="top" wrapText="1"/>
    </xf>
    <xf numFmtId="0" fontId="8" fillId="6" borderId="0" xfId="0" applyFont="1" applyFill="1" applyAlignment="1">
      <alignment horizontal="left" vertical="top" wrapText="1"/>
    </xf>
    <xf numFmtId="0" fontId="9" fillId="3" borderId="0" xfId="0" applyFont="1" applyFill="1" applyAlignment="1">
      <alignment horizontal="left" vertical="center" wrapText="1"/>
    </xf>
    <xf numFmtId="0" fontId="12" fillId="5"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0" fillId="8" borderId="0" xfId="0" applyFill="1"/>
    <xf numFmtId="0" fontId="15" fillId="8"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0" fillId="9" borderId="0" xfId="0" applyFill="1"/>
    <xf numFmtId="0" fontId="16" fillId="9"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0" fillId="10" borderId="0" xfId="0" applyFill="1"/>
    <xf numFmtId="0" fontId="17" fillId="10"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0" fillId="11" borderId="0" xfId="0" applyFill="1"/>
    <xf numFmtId="0" fontId="18" fillId="11"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19" fillId="12"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8" fillId="6"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5" borderId="1" xfId="0" applyFont="1" applyFill="1" applyBorder="1" applyAlignment="1">
      <alignment horizontal="center" vertical="center" wrapText="1"/>
    </xf>
    <xf numFmtId="0" fontId="12" fillId="5" borderId="4" xfId="0" applyFont="1" applyFill="1" applyBorder="1" applyAlignment="1">
      <alignment horizontal="left" vertical="center" wrapText="1"/>
    </xf>
    <xf numFmtId="0" fontId="20" fillId="7" borderId="4" xfId="0" applyFont="1" applyFill="1" applyBorder="1" applyAlignment="1">
      <alignment horizontal="left" vertical="top" wrapText="1"/>
    </xf>
    <xf numFmtId="0" fontId="14" fillId="6" borderId="4" xfId="0" applyFont="1" applyFill="1" applyBorder="1" applyAlignment="1">
      <alignment horizontal="left" vertical="top" wrapText="1"/>
    </xf>
    <xf numFmtId="0" fontId="12" fillId="6" borderId="4" xfId="0" applyFont="1" applyFill="1" applyBorder="1" applyAlignment="1">
      <alignment horizontal="left" vertical="center" wrapText="1"/>
    </xf>
    <xf numFmtId="0" fontId="9" fillId="3" borderId="4" xfId="0" applyFont="1" applyFill="1" applyBorder="1" applyAlignment="1">
      <alignment horizontal="center" vertical="center" wrapText="1"/>
    </xf>
    <xf numFmtId="0" fontId="19" fillId="12" borderId="4" xfId="0" applyFont="1" applyFill="1" applyBorder="1" applyAlignment="1">
      <alignment horizontal="left" vertical="top" wrapText="1"/>
    </xf>
    <xf numFmtId="0" fontId="8" fillId="6" borderId="4" xfId="0" applyFont="1" applyFill="1" applyBorder="1" applyAlignment="1">
      <alignment horizontal="left" vertical="top" wrapText="1"/>
    </xf>
    <xf numFmtId="0" fontId="7" fillId="6" borderId="4" xfId="0" applyFont="1" applyFill="1" applyBorder="1" applyAlignment="1">
      <alignment horizontal="left" vertical="top" wrapText="1"/>
    </xf>
    <xf numFmtId="0" fontId="20" fillId="2" borderId="4" xfId="0" applyFont="1" applyFill="1" applyBorder="1" applyAlignment="1">
      <alignment horizontal="left" vertical="top" wrapText="1"/>
    </xf>
    <xf numFmtId="0" fontId="21" fillId="6" borderId="4" xfId="0" applyFont="1" applyFill="1" applyBorder="1" applyAlignment="1">
      <alignment horizontal="center" vertical="center" wrapText="1"/>
    </xf>
    <xf numFmtId="9" fontId="19" fillId="7" borderId="4" xfId="0" applyNumberFormat="1" applyFont="1" applyFill="1" applyBorder="1" applyAlignment="1">
      <alignment horizontal="left" vertical="top" wrapText="1"/>
    </xf>
    <xf numFmtId="0" fontId="19" fillId="7" borderId="4" xfId="0" applyFont="1" applyFill="1" applyBorder="1" applyAlignment="1">
      <alignment horizontal="left" vertical="top" wrapText="1"/>
    </xf>
    <xf numFmtId="0" fontId="8" fillId="5" borderId="4" xfId="0" applyFont="1" applyFill="1" applyBorder="1" applyAlignment="1">
      <alignment horizontal="left" vertical="top" wrapText="1"/>
    </xf>
    <xf numFmtId="0" fontId="7" fillId="5" borderId="4" xfId="0" applyFont="1" applyFill="1" applyBorder="1" applyAlignment="1">
      <alignment horizontal="left" vertical="top" wrapText="1"/>
    </xf>
    <xf numFmtId="0" fontId="21" fillId="5" borderId="4" xfId="0" applyFont="1" applyFill="1" applyBorder="1" applyAlignment="1">
      <alignment horizontal="center" vertical="center" wrapText="1"/>
    </xf>
    <xf numFmtId="0" fontId="19" fillId="13" borderId="4" xfId="0" applyFont="1" applyFill="1" applyBorder="1" applyAlignment="1">
      <alignment horizontal="left" vertical="top" wrapText="1"/>
    </xf>
    <xf numFmtId="0" fontId="19" fillId="15" borderId="4" xfId="0" applyFont="1" applyFill="1" applyBorder="1" applyAlignment="1">
      <alignment horizontal="left" vertical="top" wrapText="1"/>
    </xf>
    <xf numFmtId="0" fontId="19" fillId="9" borderId="4" xfId="0" applyFont="1" applyFill="1" applyBorder="1" applyAlignment="1">
      <alignment horizontal="left" vertical="top" wrapText="1"/>
    </xf>
    <xf numFmtId="0" fontId="19" fillId="16" borderId="4" xfId="0" applyFont="1" applyFill="1" applyBorder="1" applyAlignment="1">
      <alignment horizontal="left" vertical="top" wrapText="1"/>
    </xf>
    <xf numFmtId="0" fontId="19" fillId="17" borderId="4" xfId="0" applyFont="1" applyFill="1" applyBorder="1" applyAlignment="1">
      <alignment horizontal="left" vertical="top" wrapText="1"/>
    </xf>
    <xf numFmtId="0" fontId="15" fillId="8" borderId="4" xfId="0" applyFont="1" applyFill="1" applyBorder="1" applyAlignment="1">
      <alignment horizontal="left" vertical="center" wrapText="1"/>
    </xf>
    <xf numFmtId="1" fontId="22" fillId="8" borderId="4" xfId="0" applyNumberFormat="1" applyFont="1" applyFill="1" applyBorder="1" applyAlignment="1">
      <alignment horizontal="center" vertical="center" wrapText="1"/>
    </xf>
    <xf numFmtId="9" fontId="22" fillId="8" borderId="4" xfId="0" applyNumberFormat="1" applyFont="1" applyFill="1" applyBorder="1" applyAlignment="1">
      <alignment horizontal="center" vertical="center" wrapText="1"/>
    </xf>
    <xf numFmtId="0" fontId="16" fillId="9" borderId="4" xfId="0" applyFont="1" applyFill="1" applyBorder="1" applyAlignment="1">
      <alignment horizontal="left" vertical="center" wrapText="1"/>
    </xf>
    <xf numFmtId="1" fontId="23" fillId="9" borderId="4" xfId="0" applyNumberFormat="1" applyFont="1" applyFill="1" applyBorder="1" applyAlignment="1">
      <alignment horizontal="center" vertical="center" wrapText="1"/>
    </xf>
    <xf numFmtId="9" fontId="23" fillId="9" borderId="4" xfId="0" applyNumberFormat="1" applyFont="1" applyFill="1" applyBorder="1" applyAlignment="1">
      <alignment horizontal="center" vertical="center" wrapText="1"/>
    </xf>
    <xf numFmtId="0" fontId="17" fillId="10" borderId="4" xfId="0" applyFont="1" applyFill="1" applyBorder="1" applyAlignment="1">
      <alignment horizontal="left" vertical="center" wrapText="1"/>
    </xf>
    <xf numFmtId="1" fontId="24" fillId="10" borderId="4" xfId="0" applyNumberFormat="1" applyFont="1" applyFill="1" applyBorder="1" applyAlignment="1">
      <alignment horizontal="center" vertical="center" wrapText="1"/>
    </xf>
    <xf numFmtId="9" fontId="24" fillId="10" borderId="4" xfId="0" applyNumberFormat="1" applyFont="1" applyFill="1" applyBorder="1" applyAlignment="1">
      <alignment horizontal="center" vertical="center" wrapText="1"/>
    </xf>
    <xf numFmtId="0" fontId="18" fillId="11" borderId="4" xfId="0" applyFont="1" applyFill="1" applyBorder="1" applyAlignment="1">
      <alignment horizontal="left" vertical="center" wrapText="1"/>
    </xf>
    <xf numFmtId="1" fontId="21" fillId="11" borderId="4" xfId="0" applyNumberFormat="1" applyFont="1" applyFill="1" applyBorder="1" applyAlignment="1">
      <alignment horizontal="center" vertical="center" wrapText="1"/>
    </xf>
    <xf numFmtId="9" fontId="21" fillId="11" borderId="4" xfId="0" applyNumberFormat="1" applyFont="1" applyFill="1" applyBorder="1" applyAlignment="1">
      <alignment horizontal="center" vertical="center" wrapText="1"/>
    </xf>
    <xf numFmtId="0" fontId="9" fillId="3" borderId="4" xfId="0" applyFont="1" applyFill="1" applyBorder="1" applyAlignment="1">
      <alignment horizontal="left" vertical="center" wrapText="1"/>
    </xf>
    <xf numFmtId="1" fontId="9" fillId="3" borderId="4" xfId="0" applyNumberFormat="1" applyFont="1" applyFill="1" applyBorder="1" applyAlignment="1">
      <alignment horizontal="center" vertical="center" wrapText="1"/>
    </xf>
    <xf numFmtId="9" fontId="9" fillId="3" borderId="4" xfId="0" applyNumberFormat="1" applyFont="1" applyFill="1" applyBorder="1" applyAlignment="1">
      <alignment horizontal="center" vertical="center" wrapText="1"/>
    </xf>
    <xf numFmtId="0" fontId="0" fillId="12" borderId="0" xfId="0" applyFill="1"/>
    <xf numFmtId="0" fontId="12" fillId="12" borderId="4" xfId="0" applyFont="1" applyFill="1" applyBorder="1" applyAlignment="1">
      <alignment horizontal="left" vertical="center" wrapText="1"/>
    </xf>
    <xf numFmtId="0" fontId="8" fillId="12" borderId="4" xfId="0" applyFont="1" applyFill="1" applyBorder="1" applyAlignment="1">
      <alignment horizontal="center" vertical="center" wrapText="1"/>
    </xf>
    <xf numFmtId="0" fontId="0" fillId="13" borderId="0" xfId="0" applyFill="1"/>
    <xf numFmtId="0" fontId="12" fillId="13" borderId="4" xfId="0" applyFont="1" applyFill="1" applyBorder="1" applyAlignment="1">
      <alignment horizontal="left" vertical="center" wrapText="1"/>
    </xf>
    <xf numFmtId="0" fontId="8" fillId="13" borderId="4" xfId="0" applyFont="1" applyFill="1" applyBorder="1" applyAlignment="1">
      <alignment horizontal="center" vertical="center" wrapText="1"/>
    </xf>
    <xf numFmtId="0" fontId="0" fillId="15" borderId="0" xfId="0" applyFill="1"/>
    <xf numFmtId="0" fontId="12" fillId="15" borderId="4" xfId="0" applyFont="1" applyFill="1" applyBorder="1" applyAlignment="1">
      <alignment horizontal="left" vertical="center" wrapText="1"/>
    </xf>
    <xf numFmtId="0" fontId="8" fillId="15" borderId="4" xfId="0" applyFont="1" applyFill="1" applyBorder="1" applyAlignment="1">
      <alignment horizontal="center" vertical="center" wrapText="1"/>
    </xf>
    <xf numFmtId="0" fontId="12" fillId="9" borderId="4" xfId="0" applyFont="1" applyFill="1" applyBorder="1" applyAlignment="1">
      <alignment horizontal="left" vertical="center" wrapText="1"/>
    </xf>
    <xf numFmtId="0" fontId="8" fillId="9" borderId="4" xfId="0" applyFont="1" applyFill="1" applyBorder="1" applyAlignment="1">
      <alignment horizontal="center" vertical="center" wrapText="1"/>
    </xf>
    <xf numFmtId="0" fontId="0" fillId="16" borderId="0" xfId="0" applyFill="1"/>
    <xf numFmtId="0" fontId="12" fillId="16" borderId="4" xfId="0" applyFont="1" applyFill="1" applyBorder="1" applyAlignment="1">
      <alignment horizontal="left" vertical="center" wrapText="1"/>
    </xf>
    <xf numFmtId="0" fontId="8" fillId="16" borderId="4" xfId="0" applyFont="1" applyFill="1" applyBorder="1" applyAlignment="1">
      <alignment horizontal="center" vertical="center" wrapText="1"/>
    </xf>
    <xf numFmtId="0" fontId="0" fillId="17" borderId="0" xfId="0" applyFill="1"/>
    <xf numFmtId="0" fontId="12" fillId="17" borderId="4" xfId="0" applyFont="1" applyFill="1" applyBorder="1" applyAlignment="1">
      <alignment horizontal="left" vertical="center" wrapText="1"/>
    </xf>
    <xf numFmtId="0" fontId="8" fillId="17" borderId="4" xfId="0" applyFont="1" applyFill="1" applyBorder="1" applyAlignment="1">
      <alignment horizontal="center" vertical="center" wrapText="1"/>
    </xf>
    <xf numFmtId="0" fontId="8" fillId="6" borderId="4" xfId="0" applyFont="1" applyFill="1" applyBorder="1" applyAlignment="1">
      <alignment horizontal="left" vertical="center" wrapText="1"/>
    </xf>
    <xf numFmtId="1" fontId="8" fillId="6" borderId="4" xfId="0" applyNumberFormat="1" applyFont="1" applyFill="1" applyBorder="1" applyAlignment="1">
      <alignment horizontal="center" vertical="center" wrapText="1"/>
    </xf>
    <xf numFmtId="9" fontId="8" fillId="6" borderId="4" xfId="0" applyNumberFormat="1" applyFont="1" applyFill="1" applyBorder="1" applyAlignment="1">
      <alignment horizontal="center" vertical="center" wrapText="1"/>
    </xf>
    <xf numFmtId="0" fontId="8" fillId="5" borderId="4" xfId="0" applyFont="1" applyFill="1" applyBorder="1" applyAlignment="1">
      <alignment horizontal="left" vertical="center" wrapText="1"/>
    </xf>
    <xf numFmtId="1" fontId="8" fillId="5" borderId="4" xfId="0" applyNumberFormat="1" applyFont="1" applyFill="1" applyBorder="1" applyAlignment="1">
      <alignment horizontal="center" vertical="center" wrapText="1"/>
    </xf>
    <xf numFmtId="9" fontId="8" fillId="5" borderId="4" xfId="0" applyNumberFormat="1"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26" fillId="6" borderId="4" xfId="0" applyFont="1" applyFill="1" applyBorder="1" applyAlignment="1">
      <alignment horizontal="left" vertical="top" wrapText="1"/>
    </xf>
    <xf numFmtId="0" fontId="26" fillId="5" borderId="4" xfId="0" applyFont="1" applyFill="1" applyBorder="1" applyAlignment="1">
      <alignment horizontal="left" vertical="top" wrapText="1"/>
    </xf>
    <xf numFmtId="0" fontId="0" fillId="6" borderId="4" xfId="0" applyFill="1" applyBorder="1"/>
    <xf numFmtId="0" fontId="0" fillId="7" borderId="4" xfId="0" applyFill="1" applyBorder="1"/>
    <xf numFmtId="0" fontId="0" fillId="5" borderId="4" xfId="0" applyFill="1" applyBorder="1"/>
    <xf numFmtId="0" fontId="0" fillId="18" borderId="0" xfId="0" applyFill="1"/>
    <xf numFmtId="0" fontId="7" fillId="6"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28" fillId="3" borderId="4" xfId="0" applyFont="1" applyFill="1" applyBorder="1" applyAlignment="1">
      <alignment horizontal="center" vertical="center" wrapText="1"/>
    </xf>
    <xf numFmtId="0" fontId="29" fillId="19" borderId="4" xfId="0" applyFont="1" applyFill="1" applyBorder="1" applyAlignment="1">
      <alignment horizontal="center" vertical="center" wrapText="1"/>
    </xf>
    <xf numFmtId="0" fontId="30" fillId="2" borderId="0" xfId="0" applyFont="1" applyFill="1" applyAlignment="1">
      <alignment horizontal="center" vertical="center" wrapText="1"/>
    </xf>
    <xf numFmtId="0" fontId="31" fillId="6" borderId="4" xfId="0" applyFont="1" applyFill="1" applyBorder="1" applyAlignment="1">
      <alignment horizontal="left" vertical="center" wrapText="1"/>
    </xf>
    <xf numFmtId="0" fontId="32" fillId="6" borderId="4" xfId="0" applyFont="1" applyFill="1" applyBorder="1" applyAlignment="1">
      <alignment horizontal="center" vertical="center" wrapText="1"/>
    </xf>
    <xf numFmtId="0" fontId="32" fillId="6" borderId="4" xfId="0" applyFont="1" applyFill="1" applyBorder="1" applyAlignment="1">
      <alignment horizontal="left" vertical="center" wrapText="1"/>
    </xf>
    <xf numFmtId="0" fontId="14" fillId="7" borderId="4" xfId="0" applyFont="1" applyFill="1" applyBorder="1" applyAlignment="1">
      <alignment horizontal="left" vertical="center" wrapText="1"/>
    </xf>
    <xf numFmtId="164" fontId="14" fillId="7" borderId="4" xfId="0" applyNumberFormat="1" applyFont="1" applyFill="1" applyBorder="1" applyAlignment="1">
      <alignment horizontal="left" vertical="center" wrapText="1"/>
    </xf>
    <xf numFmtId="0" fontId="14" fillId="7" borderId="4" xfId="0" applyFont="1" applyFill="1" applyBorder="1" applyAlignment="1">
      <alignment horizontal="center" vertical="center" wrapText="1"/>
    </xf>
    <xf numFmtId="0" fontId="31" fillId="5" borderId="4" xfId="0" applyFont="1" applyFill="1" applyBorder="1" applyAlignment="1">
      <alignment horizontal="left" vertical="center" wrapText="1"/>
    </xf>
    <xf numFmtId="0" fontId="32" fillId="5" borderId="4" xfId="0" applyFont="1" applyFill="1" applyBorder="1" applyAlignment="1">
      <alignment horizontal="center" vertical="center" wrapText="1"/>
    </xf>
    <xf numFmtId="0" fontId="32" fillId="5" borderId="4" xfId="0" applyFont="1" applyFill="1" applyBorder="1" applyAlignment="1">
      <alignment horizontal="left" vertical="center" wrapText="1"/>
    </xf>
    <xf numFmtId="0" fontId="7" fillId="6" borderId="4" xfId="0" applyFont="1" applyFill="1" applyBorder="1" applyAlignment="1">
      <alignment horizontal="center" vertical="top" wrapText="1"/>
    </xf>
    <xf numFmtId="164" fontId="8" fillId="6" borderId="4" xfId="0" applyNumberFormat="1" applyFont="1" applyFill="1" applyBorder="1" applyAlignment="1">
      <alignment horizontal="left" vertical="top" wrapText="1"/>
    </xf>
    <xf numFmtId="0" fontId="8" fillId="6" borderId="4" xfId="0" applyFont="1" applyFill="1" applyBorder="1" applyAlignment="1">
      <alignment horizontal="center" vertical="top" wrapText="1"/>
    </xf>
    <xf numFmtId="0" fontId="7" fillId="5" borderId="4" xfId="0" applyFont="1" applyFill="1" applyBorder="1" applyAlignment="1">
      <alignment horizontal="center" vertical="top" wrapText="1"/>
    </xf>
    <xf numFmtId="164" fontId="8" fillId="5" borderId="4" xfId="0" applyNumberFormat="1" applyFont="1" applyFill="1" applyBorder="1" applyAlignment="1">
      <alignment horizontal="left" vertical="top" wrapText="1"/>
    </xf>
    <xf numFmtId="0" fontId="8" fillId="5" borderId="4" xfId="0" applyFont="1" applyFill="1" applyBorder="1" applyAlignment="1">
      <alignment horizontal="center" vertical="top" wrapText="1"/>
    </xf>
    <xf numFmtId="1" fontId="8" fillId="6" borderId="4" xfId="0" applyNumberFormat="1" applyFont="1" applyFill="1" applyBorder="1" applyAlignment="1">
      <alignment horizontal="center" vertical="top" wrapText="1"/>
    </xf>
    <xf numFmtId="1" fontId="8" fillId="5" borderId="4" xfId="0" applyNumberFormat="1" applyFont="1" applyFill="1" applyBorder="1" applyAlignment="1">
      <alignment horizontal="center" vertical="top" wrapText="1"/>
    </xf>
    <xf numFmtId="0" fontId="27" fillId="6" borderId="0" xfId="0" applyFont="1" applyFill="1" applyAlignment="1">
      <alignment horizontal="left" vertical="center" wrapText="1"/>
    </xf>
    <xf numFmtId="0" fontId="0" fillId="0" borderId="0" xfId="0"/>
    <xf numFmtId="0" fontId="9" fillId="18" borderId="0" xfId="0" applyFont="1" applyFill="1" applyAlignment="1">
      <alignment horizontal="left"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6" fillId="3" borderId="0" xfId="0" applyFont="1" applyFill="1" applyAlignment="1">
      <alignment horizontal="left" vertical="center"/>
    </xf>
    <xf numFmtId="0" fontId="8" fillId="5" borderId="0" xfId="0" applyFont="1" applyFill="1" applyAlignment="1">
      <alignment horizontal="left" vertical="top" wrapText="1"/>
    </xf>
    <xf numFmtId="0" fontId="4" fillId="3" borderId="0" xfId="0" applyFont="1" applyFill="1" applyAlignment="1">
      <alignment horizontal="left" vertical="center" wrapText="1"/>
    </xf>
    <xf numFmtId="0" fontId="2" fillId="3" borderId="0" xfId="0" applyFont="1" applyFill="1" applyAlignment="1">
      <alignment horizontal="left" vertical="center" wrapText="1"/>
    </xf>
    <xf numFmtId="0" fontId="3" fillId="3" borderId="0" xfId="0" applyFont="1" applyFill="1" applyAlignment="1">
      <alignment horizontal="left" vertical="center" wrapText="1"/>
    </xf>
    <xf numFmtId="0" fontId="5" fillId="4" borderId="0" xfId="0" applyFont="1" applyFill="1" applyAlignment="1">
      <alignment horizontal="left" vertical="center" wrapText="1"/>
    </xf>
    <xf numFmtId="0" fontId="9" fillId="3" borderId="0" xfId="0" applyFont="1" applyFill="1" applyAlignment="1">
      <alignment horizontal="left" vertical="center" wrapText="1"/>
    </xf>
    <xf numFmtId="0" fontId="14" fillId="6" borderId="0" xfId="0" applyFont="1" applyFill="1" applyAlignment="1">
      <alignment horizontal="left" vertical="center" wrapText="1"/>
    </xf>
    <xf numFmtId="0" fontId="8" fillId="5" borderId="0" xfId="0" applyFont="1" applyFill="1" applyAlignment="1">
      <alignment horizontal="left" vertical="center" wrapText="1"/>
    </xf>
    <xf numFmtId="0" fontId="11" fillId="3" borderId="0" xfId="0" applyFont="1" applyFill="1" applyAlignment="1">
      <alignment horizontal="left" vertical="center" wrapText="1"/>
    </xf>
    <xf numFmtId="0" fontId="6" fillId="3" borderId="0" xfId="0" applyFont="1" applyFill="1" applyAlignment="1">
      <alignment horizontal="left" vertical="center" wrapText="1"/>
    </xf>
    <xf numFmtId="0" fontId="8" fillId="5" borderId="3" xfId="0" applyFont="1" applyFill="1" applyBorder="1" applyAlignment="1">
      <alignment horizontal="left" vertical="center" wrapText="1"/>
    </xf>
    <xf numFmtId="0" fontId="0" fillId="0" borderId="2" xfId="0" applyBorder="1"/>
    <xf numFmtId="0" fontId="8" fillId="5" borderId="3" xfId="0" applyFont="1" applyFill="1" applyBorder="1" applyAlignment="1">
      <alignment horizontal="left" vertical="top" wrapText="1"/>
    </xf>
    <xf numFmtId="0" fontId="8" fillId="6" borderId="3" xfId="0" applyFont="1" applyFill="1" applyBorder="1" applyAlignment="1">
      <alignment horizontal="left" vertical="center" wrapText="1"/>
    </xf>
    <xf numFmtId="0" fontId="8" fillId="6" borderId="3" xfId="0" applyFont="1" applyFill="1" applyBorder="1" applyAlignment="1">
      <alignment horizontal="left" vertical="top" wrapText="1"/>
    </xf>
    <xf numFmtId="0" fontId="16" fillId="9"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18" fillId="11"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25" fillId="3" borderId="0" xfId="0" applyFont="1" applyFill="1" applyAlignment="1">
      <alignment horizontal="left" vertical="center" wrapText="1"/>
    </xf>
    <xf numFmtId="0" fontId="8" fillId="5" borderId="4" xfId="0" applyFont="1" applyFill="1" applyBorder="1" applyAlignment="1">
      <alignment horizontal="left" vertical="top" wrapText="1"/>
    </xf>
    <xf numFmtId="0" fontId="0" fillId="0" borderId="5" xfId="0" applyBorder="1"/>
    <xf numFmtId="0" fontId="8" fillId="6" borderId="4" xfId="0" applyFont="1" applyFill="1" applyBorder="1" applyAlignment="1">
      <alignment horizontal="left" vertical="top" wrapText="1"/>
    </xf>
    <xf numFmtId="0" fontId="9" fillId="3" borderId="4" xfId="0" applyFont="1" applyFill="1" applyBorder="1" applyAlignment="1">
      <alignment horizontal="center" vertical="center" wrapText="1"/>
    </xf>
    <xf numFmtId="0" fontId="9" fillId="19" borderId="4" xfId="0" applyFont="1" applyFill="1" applyBorder="1" applyAlignment="1">
      <alignment horizontal="center" vertical="center" wrapText="1"/>
    </xf>
    <xf numFmtId="0" fontId="12" fillId="5" borderId="4" xfId="0" applyFont="1" applyFill="1" applyBorder="1" applyAlignment="1">
      <alignment horizontal="left" vertical="center" wrapText="1"/>
    </xf>
    <xf numFmtId="164" fontId="7" fillId="7" borderId="4" xfId="0" applyNumberFormat="1" applyFont="1" applyFill="1" applyBorder="1" applyAlignment="1">
      <alignment horizontal="left" vertical="center" wrapText="1"/>
    </xf>
    <xf numFmtId="0" fontId="14" fillId="6" borderId="4" xfId="0" applyFont="1" applyFill="1" applyBorder="1" applyAlignment="1">
      <alignment horizontal="left" vertical="center" wrapText="1"/>
    </xf>
  </cellXfs>
  <cellStyles count="1">
    <cellStyle name="Normal" xfId="0" builtinId="0"/>
  </cellStyles>
  <dxfs count="21">
    <dxf>
      <font>
        <b/>
        <sz val="10"/>
        <color rgb="FFC45911"/>
        <name val="Arial"/>
      </font>
      <fill>
        <patternFill patternType="solid">
          <fgColor rgb="FFFCE4D6"/>
        </patternFill>
      </fill>
    </dxf>
    <dxf>
      <font>
        <b/>
        <sz val="10"/>
        <color rgb="FF217346"/>
        <name val="Arial"/>
      </font>
      <fill>
        <patternFill patternType="solid">
          <fgColor rgb="FFC6EFCE"/>
        </patternFill>
      </fill>
    </dxf>
    <dxf>
      <font>
        <b/>
        <sz val="10"/>
        <color rgb="FF6B8EAA"/>
        <name val="Arial"/>
      </font>
      <fill>
        <patternFill patternType="solid">
          <fgColor rgb="FFF2F2F2"/>
        </patternFill>
      </fill>
    </dxf>
    <dxf>
      <font>
        <b/>
        <sz val="10"/>
        <color rgb="FF9C1F1F"/>
        <name val="Arial"/>
      </font>
      <fill>
        <patternFill patternType="solid">
          <fgColor rgb="FFFFC7CE"/>
        </patternFill>
      </fill>
    </dxf>
    <dxf>
      <font>
        <b/>
        <sz val="10"/>
        <color rgb="FFC45911"/>
        <name val="Arial"/>
      </font>
      <fill>
        <patternFill patternType="solid">
          <fgColor rgb="FFFCE4D6"/>
        </patternFill>
      </fill>
    </dxf>
    <dxf>
      <font>
        <b/>
        <sz val="10"/>
        <color rgb="FF217346"/>
        <name val="Arial"/>
      </font>
      <fill>
        <patternFill patternType="solid">
          <fgColor rgb="FFC6EFCE"/>
        </patternFill>
      </fill>
    </dxf>
    <dxf>
      <font>
        <sz val="8"/>
        <color rgb="FFAAAAAA"/>
        <name val="Arial"/>
      </font>
      <fill>
        <patternFill patternType="solid">
          <fgColor rgb="FFF5F5F5"/>
        </patternFill>
      </fill>
    </dxf>
    <dxf>
      <font>
        <sz val="8"/>
        <color rgb="FFFFFFFF"/>
        <name val="Arial"/>
      </font>
      <fill>
        <patternFill patternType="solid">
          <fgColor rgb="FF1A4FBF"/>
        </patternFill>
      </fill>
    </dxf>
    <dxf>
      <font>
        <b/>
        <sz val="9"/>
        <color rgb="FF6B8EAA"/>
        <name val="Arial"/>
      </font>
      <fill>
        <patternFill patternType="solid">
          <fgColor rgb="FFF2F2F2"/>
        </patternFill>
      </fill>
    </dxf>
    <dxf>
      <font>
        <b/>
        <sz val="9"/>
        <color rgb="FF9C1F1F"/>
        <name val="Arial"/>
      </font>
      <fill>
        <patternFill patternType="solid">
          <fgColor rgb="FFFFC7CE"/>
        </patternFill>
      </fill>
    </dxf>
    <dxf>
      <font>
        <b/>
        <sz val="9"/>
        <color rgb="FFC45911"/>
        <name val="Arial"/>
      </font>
      <fill>
        <patternFill patternType="solid">
          <fgColor rgb="FFFCE4D6"/>
        </patternFill>
      </fill>
    </dxf>
    <dxf>
      <font>
        <b/>
        <sz val="9"/>
        <color rgb="FF217346"/>
        <name val="Arial"/>
      </font>
      <fill>
        <patternFill patternType="solid">
          <fgColor rgb="FFC6EFCE"/>
        </patternFill>
      </fill>
    </dxf>
    <dxf>
      <font>
        <sz val="9"/>
        <color rgb="FFAAAAAA"/>
        <name val="Arial"/>
      </font>
      <fill>
        <patternFill patternType="solid">
          <fgColor rgb="FFF5F5F5"/>
        </patternFill>
      </fill>
    </dxf>
    <dxf>
      <font>
        <b/>
        <sz val="10"/>
        <color rgb="FF6B8EAA"/>
        <name val="Arial"/>
      </font>
      <fill>
        <patternFill patternType="solid">
          <fgColor rgb="FFF2F2F2"/>
        </patternFill>
      </fill>
    </dxf>
    <dxf>
      <font>
        <b/>
        <sz val="10"/>
        <color rgb="FF9C1F1F"/>
        <name val="Arial"/>
      </font>
      <fill>
        <patternFill patternType="solid">
          <fgColor rgb="FFFFC7CE"/>
        </patternFill>
      </fill>
    </dxf>
    <dxf>
      <font>
        <b/>
        <sz val="10"/>
        <color rgb="FFC45911"/>
        <name val="Arial"/>
      </font>
      <fill>
        <patternFill patternType="solid">
          <fgColor rgb="FFFCE4D6"/>
        </patternFill>
      </fill>
    </dxf>
    <dxf>
      <font>
        <b/>
        <sz val="10"/>
        <color rgb="FF217346"/>
        <name val="Arial"/>
      </font>
      <fill>
        <patternFill patternType="solid">
          <fgColor rgb="FFC6EFCE"/>
        </patternFill>
      </fill>
    </dxf>
    <dxf>
      <font>
        <b/>
        <sz val="10"/>
        <color rgb="FF6B8EAA"/>
        <name val="Arial"/>
      </font>
      <fill>
        <patternFill patternType="solid">
          <fgColor rgb="FFF2F2F2"/>
        </patternFill>
      </fill>
    </dxf>
    <dxf>
      <font>
        <b/>
        <sz val="10"/>
        <color rgb="FF9C1F1F"/>
        <name val="Arial"/>
      </font>
      <fill>
        <patternFill patternType="solid">
          <fgColor rgb="FFFFC7CE"/>
        </patternFill>
      </fill>
    </dxf>
    <dxf>
      <font>
        <b/>
        <sz val="10"/>
        <color rgb="FFC45911"/>
        <name val="Arial"/>
      </font>
      <fill>
        <patternFill patternType="solid">
          <fgColor rgb="FFFCE4D6"/>
        </patternFill>
      </fill>
    </dxf>
    <dxf>
      <font>
        <b/>
        <sz val="10"/>
        <color rgb="FF217346"/>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59E0B"/>
  </sheetPr>
  <dimension ref="A1:AA26"/>
  <sheetViews>
    <sheetView showGridLines="0" zoomScale="80" workbookViewId="0">
      <selection activeCell="C40" sqref="C40"/>
    </sheetView>
  </sheetViews>
  <sheetFormatPr defaultRowHeight="14.25" x14ac:dyDescent="0.45"/>
  <cols>
    <col min="1" max="1" width="3" customWidth="1"/>
    <col min="2" max="2" width="28" customWidth="1"/>
    <col min="3" max="3" width="75" customWidth="1"/>
    <col min="4" max="4" width="3" customWidth="1"/>
    <col min="5" max="27" width="13" customWidth="1"/>
  </cols>
  <sheetData>
    <row r="1" spans="1:27" ht="1.05" customHeight="1" x14ac:dyDescent="0.45">
      <c r="A1" s="1"/>
      <c r="B1" s="1"/>
      <c r="C1" s="1"/>
      <c r="D1" s="1"/>
      <c r="AA1" s="2" t="s">
        <v>0</v>
      </c>
    </row>
    <row r="2" spans="1:27" ht="28.05" customHeight="1" x14ac:dyDescent="0.45">
      <c r="A2" s="3"/>
      <c r="B2" s="134" t="s">
        <v>1</v>
      </c>
      <c r="C2" s="127"/>
      <c r="D2" s="3"/>
    </row>
    <row r="3" spans="1:27" ht="22.05" customHeight="1" x14ac:dyDescent="0.45">
      <c r="A3" s="3"/>
      <c r="B3" s="135" t="s">
        <v>2</v>
      </c>
      <c r="C3" s="127"/>
      <c r="D3" s="3"/>
    </row>
    <row r="4" spans="1:27" ht="19.05" customHeight="1" x14ac:dyDescent="0.45">
      <c r="A4" s="3"/>
      <c r="B4" s="133" t="s">
        <v>869</v>
      </c>
      <c r="C4" s="127"/>
      <c r="D4" s="3"/>
    </row>
    <row r="5" spans="1:27" ht="34.049999999999997" customHeight="1" x14ac:dyDescent="0.45">
      <c r="A5" s="4"/>
      <c r="B5" s="136" t="s">
        <v>3</v>
      </c>
      <c r="C5" s="127"/>
      <c r="D5" s="4"/>
    </row>
    <row r="6" spans="1:27" ht="6" customHeight="1" x14ac:dyDescent="0.45">
      <c r="A6" s="1"/>
      <c r="B6" s="1"/>
      <c r="C6" s="1"/>
      <c r="D6" s="1"/>
    </row>
    <row r="7" spans="1:27" ht="20" customHeight="1" x14ac:dyDescent="0.45">
      <c r="A7" s="3"/>
      <c r="B7" s="131" t="s">
        <v>4</v>
      </c>
      <c r="C7" s="127"/>
      <c r="D7" s="3"/>
    </row>
    <row r="8" spans="1:27" ht="19.05" customHeight="1" x14ac:dyDescent="0.45">
      <c r="A8" s="5"/>
      <c r="B8" s="6" t="s">
        <v>5</v>
      </c>
      <c r="C8" s="7" t="s">
        <v>6</v>
      </c>
      <c r="D8" s="5"/>
    </row>
    <row r="9" spans="1:27" ht="52.05" customHeight="1" x14ac:dyDescent="0.45">
      <c r="A9" s="5"/>
      <c r="B9" s="132" t="s">
        <v>7</v>
      </c>
      <c r="C9" s="127"/>
      <c r="D9" s="5"/>
    </row>
    <row r="10" spans="1:27" ht="6" customHeight="1" x14ac:dyDescent="0.45">
      <c r="A10" s="1"/>
      <c r="B10" s="1"/>
      <c r="C10" s="1"/>
      <c r="D10" s="1"/>
    </row>
    <row r="11" spans="1:27" ht="20" customHeight="1" x14ac:dyDescent="0.45">
      <c r="A11" s="3"/>
      <c r="B11" s="131" t="s">
        <v>8</v>
      </c>
      <c r="C11" s="127"/>
      <c r="D11" s="3"/>
    </row>
    <row r="12" spans="1:27" ht="64.05" customHeight="1" x14ac:dyDescent="0.45">
      <c r="A12" s="5"/>
      <c r="B12" s="6" t="s">
        <v>9</v>
      </c>
      <c r="C12" s="7" t="s">
        <v>10</v>
      </c>
      <c r="D12" s="5"/>
    </row>
    <row r="13" spans="1:27" ht="94.05" customHeight="1" x14ac:dyDescent="0.45">
      <c r="A13" s="8"/>
      <c r="B13" s="9" t="s">
        <v>11</v>
      </c>
      <c r="C13" s="10" t="s">
        <v>870</v>
      </c>
      <c r="D13" s="8"/>
    </row>
    <row r="14" spans="1:27" ht="109.05" customHeight="1" x14ac:dyDescent="0.45">
      <c r="A14" s="5"/>
      <c r="B14" s="6" t="s">
        <v>12</v>
      </c>
      <c r="C14" s="7" t="s">
        <v>13</v>
      </c>
      <c r="D14" s="5"/>
    </row>
    <row r="15" spans="1:27" ht="6" customHeight="1" x14ac:dyDescent="0.45">
      <c r="A15" s="1"/>
      <c r="B15" s="1"/>
      <c r="C15" s="1"/>
      <c r="D15" s="1"/>
    </row>
    <row r="16" spans="1:27" ht="20" customHeight="1" x14ac:dyDescent="0.45">
      <c r="A16" s="3"/>
      <c r="B16" s="131" t="s">
        <v>14</v>
      </c>
      <c r="C16" s="127"/>
      <c r="D16" s="3"/>
    </row>
    <row r="17" spans="1:4" ht="45" customHeight="1" x14ac:dyDescent="0.45">
      <c r="A17" s="5"/>
      <c r="B17" s="132" t="s">
        <v>15</v>
      </c>
      <c r="C17" s="127"/>
      <c r="D17" s="5"/>
    </row>
    <row r="18" spans="1:4" ht="94.05" customHeight="1" x14ac:dyDescent="0.45">
      <c r="A18" s="5"/>
      <c r="B18" s="6" t="s">
        <v>16</v>
      </c>
      <c r="C18" s="7" t="s">
        <v>17</v>
      </c>
      <c r="D18" s="5"/>
    </row>
    <row r="19" spans="1:4" ht="6" customHeight="1" x14ac:dyDescent="0.45">
      <c r="A19" s="1"/>
      <c r="B19" s="1"/>
      <c r="C19" s="1"/>
      <c r="D19" s="1"/>
    </row>
    <row r="20" spans="1:4" ht="20" customHeight="1" x14ac:dyDescent="0.45">
      <c r="A20" s="3"/>
      <c r="B20" s="131" t="s">
        <v>18</v>
      </c>
      <c r="C20" s="127"/>
      <c r="D20" s="3"/>
    </row>
    <row r="21" spans="1:4" ht="40.049999999999997" customHeight="1" x14ac:dyDescent="0.45">
      <c r="A21" s="5"/>
      <c r="B21" s="132" t="s">
        <v>19</v>
      </c>
      <c r="C21" s="127"/>
      <c r="D21" s="5"/>
    </row>
    <row r="22" spans="1:4" ht="6" customHeight="1" x14ac:dyDescent="0.45">
      <c r="A22" s="1"/>
      <c r="B22" s="1"/>
      <c r="C22" s="1"/>
      <c r="D22" s="1"/>
    </row>
    <row r="23" spans="1:4" ht="20" customHeight="1" x14ac:dyDescent="0.45">
      <c r="A23" s="3"/>
      <c r="B23" s="131" t="s">
        <v>20</v>
      </c>
      <c r="C23" s="127"/>
      <c r="D23" s="3"/>
    </row>
    <row r="24" spans="1:4" ht="40.049999999999997" customHeight="1" x14ac:dyDescent="0.45">
      <c r="A24" s="5"/>
      <c r="B24" s="132" t="s">
        <v>21</v>
      </c>
      <c r="C24" s="127"/>
      <c r="D24" s="5"/>
    </row>
    <row r="25" spans="1:4" ht="6" customHeight="1" x14ac:dyDescent="0.45">
      <c r="A25" s="1"/>
      <c r="B25" s="1"/>
      <c r="C25" s="1"/>
      <c r="D25" s="1"/>
    </row>
    <row r="26" spans="1:4" ht="34.049999999999997" customHeight="1" x14ac:dyDescent="0.45">
      <c r="A26" s="3"/>
      <c r="B26" s="130" t="s">
        <v>22</v>
      </c>
      <c r="C26" s="127"/>
      <c r="D26" s="3"/>
    </row>
  </sheetData>
  <mergeCells count="14">
    <mergeCell ref="B2:C2"/>
    <mergeCell ref="B24:C24"/>
    <mergeCell ref="B16:C16"/>
    <mergeCell ref="B7:C7"/>
    <mergeCell ref="B11:C11"/>
    <mergeCell ref="B3:C3"/>
    <mergeCell ref="B5:C5"/>
    <mergeCell ref="B20:C20"/>
    <mergeCell ref="B26:C26"/>
    <mergeCell ref="B23:C23"/>
    <mergeCell ref="B9:C9"/>
    <mergeCell ref="B4:C4"/>
    <mergeCell ref="B17:C17"/>
    <mergeCell ref="B21:C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3A54"/>
  </sheetPr>
  <dimension ref="A1:AA45"/>
  <sheetViews>
    <sheetView showGridLines="0" tabSelected="1" topLeftCell="A2" zoomScale="80" workbookViewId="0">
      <selection activeCell="A47" sqref="A47"/>
    </sheetView>
  </sheetViews>
  <sheetFormatPr defaultRowHeight="14.25" x14ac:dyDescent="0.45"/>
  <cols>
    <col min="1" max="1" width="3" customWidth="1"/>
    <col min="2" max="2" width="35" customWidth="1"/>
    <col min="3" max="3" width="52" customWidth="1"/>
    <col min="4" max="4" width="4" customWidth="1"/>
    <col min="5" max="27" width="13" customWidth="1"/>
  </cols>
  <sheetData>
    <row r="1" spans="1:27" ht="49.05" hidden="1" customHeight="1" x14ac:dyDescent="0.45">
      <c r="A1" s="1"/>
      <c r="B1" s="1"/>
      <c r="C1" s="1"/>
      <c r="D1" s="1"/>
      <c r="AA1" s="2" t="s">
        <v>0</v>
      </c>
    </row>
    <row r="2" spans="1:27" ht="19.05" customHeight="1" x14ac:dyDescent="0.45">
      <c r="A2" s="3"/>
      <c r="B2" s="133" t="s">
        <v>23</v>
      </c>
      <c r="C2" s="127"/>
      <c r="D2" s="3"/>
    </row>
    <row r="3" spans="1:27" ht="34.049999999999997" customHeight="1" x14ac:dyDescent="0.45">
      <c r="A3" s="3"/>
      <c r="B3" s="140" t="s">
        <v>2</v>
      </c>
      <c r="C3" s="127"/>
      <c r="D3" s="3"/>
    </row>
    <row r="4" spans="1:27" ht="34.049999999999997" customHeight="1" x14ac:dyDescent="0.45">
      <c r="A4" s="4"/>
      <c r="B4" s="136" t="s">
        <v>24</v>
      </c>
      <c r="C4" s="127"/>
      <c r="D4" s="4"/>
    </row>
    <row r="5" spans="1:27" ht="8" customHeight="1" x14ac:dyDescent="0.45">
      <c r="A5" s="1"/>
      <c r="B5" s="1"/>
      <c r="C5" s="1"/>
      <c r="D5" s="1"/>
    </row>
    <row r="6" spans="1:27" ht="19.05" customHeight="1" x14ac:dyDescent="0.45">
      <c r="A6" s="3"/>
      <c r="B6" s="137" t="s">
        <v>25</v>
      </c>
      <c r="C6" s="127"/>
      <c r="D6" s="3"/>
    </row>
    <row r="7" spans="1:27" ht="19.05" customHeight="1" x14ac:dyDescent="0.45">
      <c r="A7" s="5"/>
      <c r="B7" s="12" t="s">
        <v>26</v>
      </c>
      <c r="C7" s="13"/>
      <c r="D7" s="5"/>
    </row>
    <row r="8" spans="1:27" ht="19.05" customHeight="1" x14ac:dyDescent="0.45">
      <c r="A8" s="5"/>
      <c r="B8" s="12" t="s">
        <v>27</v>
      </c>
      <c r="C8" s="13"/>
      <c r="D8" s="5"/>
    </row>
    <row r="9" spans="1:27" ht="19.05" customHeight="1" x14ac:dyDescent="0.45">
      <c r="A9" s="5"/>
      <c r="B9" s="12" t="s">
        <v>28</v>
      </c>
      <c r="C9" s="13"/>
      <c r="D9" s="5"/>
    </row>
    <row r="10" spans="1:27" ht="19.05" customHeight="1" x14ac:dyDescent="0.45">
      <c r="A10" s="5"/>
      <c r="B10" s="12" t="s">
        <v>29</v>
      </c>
      <c r="C10" s="13"/>
      <c r="D10" s="5"/>
    </row>
    <row r="11" spans="1:27" ht="19.05" customHeight="1" x14ac:dyDescent="0.45">
      <c r="A11" s="5"/>
      <c r="B11" s="12" t="s">
        <v>30</v>
      </c>
      <c r="C11" s="13"/>
      <c r="D11" s="5"/>
    </row>
    <row r="12" spans="1:27" ht="19.05" customHeight="1" x14ac:dyDescent="0.45">
      <c r="A12" s="5"/>
      <c r="B12" s="12" t="s">
        <v>31</v>
      </c>
      <c r="C12" s="13"/>
      <c r="D12" s="5"/>
    </row>
    <row r="13" spans="1:27" ht="19.05" customHeight="1" x14ac:dyDescent="0.45">
      <c r="A13" s="5"/>
      <c r="B13" s="12" t="s">
        <v>32</v>
      </c>
      <c r="C13" s="13"/>
      <c r="D13" s="5"/>
    </row>
    <row r="14" spans="1:27" ht="34.049999999999997" customHeight="1" x14ac:dyDescent="0.45">
      <c r="A14" s="8"/>
      <c r="B14" s="138" t="s">
        <v>33</v>
      </c>
      <c r="C14" s="127"/>
      <c r="D14" s="8"/>
    </row>
    <row r="15" spans="1:27" ht="6" customHeight="1" x14ac:dyDescent="0.45">
      <c r="A15" s="1"/>
      <c r="B15" s="1"/>
      <c r="C15" s="1"/>
      <c r="D15" s="1"/>
    </row>
    <row r="16" spans="1:27" ht="19.05" customHeight="1" x14ac:dyDescent="0.45">
      <c r="A16" s="3"/>
      <c r="B16" s="137" t="s">
        <v>34</v>
      </c>
      <c r="C16" s="127"/>
      <c r="D16" s="3"/>
    </row>
    <row r="17" spans="1:4" ht="19.05" customHeight="1" x14ac:dyDescent="0.45">
      <c r="A17" s="5"/>
      <c r="B17" s="12" t="s">
        <v>35</v>
      </c>
      <c r="C17" s="14" t="s">
        <v>36</v>
      </c>
      <c r="D17" s="5"/>
    </row>
    <row r="18" spans="1:4" ht="19.05" customHeight="1" x14ac:dyDescent="0.45">
      <c r="A18" s="5"/>
      <c r="B18" s="12" t="s">
        <v>37</v>
      </c>
      <c r="C18" s="14" t="s">
        <v>38</v>
      </c>
      <c r="D18" s="5"/>
    </row>
    <row r="19" spans="1:4" ht="19.05" customHeight="1" x14ac:dyDescent="0.45">
      <c r="A19" s="5"/>
      <c r="B19" s="12" t="s">
        <v>39</v>
      </c>
      <c r="C19" s="14"/>
      <c r="D19" s="5"/>
    </row>
    <row r="20" spans="1:4" ht="19.05" customHeight="1" x14ac:dyDescent="0.45">
      <c r="A20" s="5"/>
      <c r="B20" s="12" t="s">
        <v>40</v>
      </c>
      <c r="C20" s="14" t="s">
        <v>868</v>
      </c>
      <c r="D20" s="5"/>
    </row>
    <row r="21" spans="1:4" ht="19.05" customHeight="1" x14ac:dyDescent="0.45">
      <c r="A21" s="5"/>
      <c r="B21" s="12" t="s">
        <v>41</v>
      </c>
      <c r="C21" s="14" t="s">
        <v>42</v>
      </c>
      <c r="D21" s="5"/>
    </row>
    <row r="22" spans="1:4" ht="19.05" customHeight="1" x14ac:dyDescent="0.45">
      <c r="A22" s="5"/>
      <c r="B22" s="12" t="s">
        <v>30</v>
      </c>
      <c r="C22" s="13"/>
      <c r="D22" s="5"/>
    </row>
    <row r="23" spans="1:4" ht="6" customHeight="1" x14ac:dyDescent="0.45">
      <c r="A23" s="1"/>
      <c r="B23" s="1"/>
      <c r="C23" s="1"/>
      <c r="D23" s="1"/>
    </row>
    <row r="24" spans="1:4" ht="19.05" customHeight="1" x14ac:dyDescent="0.45">
      <c r="A24" s="3"/>
      <c r="B24" s="137" t="s">
        <v>43</v>
      </c>
      <c r="C24" s="127"/>
      <c r="D24" s="3"/>
    </row>
    <row r="25" spans="1:4" ht="19.05" customHeight="1" x14ac:dyDescent="0.45">
      <c r="A25" s="5"/>
      <c r="B25" s="12" t="s">
        <v>44</v>
      </c>
      <c r="C25" s="14" t="s">
        <v>45</v>
      </c>
      <c r="D25" s="5"/>
    </row>
    <row r="26" spans="1:4" ht="19.05" customHeight="1" x14ac:dyDescent="0.45">
      <c r="A26" s="5"/>
      <c r="B26" s="12" t="s">
        <v>46</v>
      </c>
      <c r="C26" s="14" t="s">
        <v>47</v>
      </c>
      <c r="D26" s="5"/>
    </row>
    <row r="27" spans="1:4" ht="19.05" customHeight="1" x14ac:dyDescent="0.45">
      <c r="A27" s="5"/>
      <c r="B27" s="12" t="s">
        <v>48</v>
      </c>
      <c r="C27" s="14" t="s">
        <v>49</v>
      </c>
      <c r="D27" s="5"/>
    </row>
    <row r="28" spans="1:4" ht="34.049999999999997" customHeight="1" x14ac:dyDescent="0.45">
      <c r="A28" s="5"/>
      <c r="B28" s="12" t="s">
        <v>50</v>
      </c>
      <c r="C28" s="14" t="s">
        <v>51</v>
      </c>
      <c r="D28" s="5"/>
    </row>
    <row r="29" spans="1:4" ht="6" customHeight="1" x14ac:dyDescent="0.45">
      <c r="A29" s="1"/>
      <c r="B29" s="1"/>
      <c r="C29" s="1"/>
      <c r="D29" s="1"/>
    </row>
    <row r="30" spans="1:4" ht="19.05" customHeight="1" x14ac:dyDescent="0.45">
      <c r="A30" s="3"/>
      <c r="B30" s="137" t="s">
        <v>52</v>
      </c>
      <c r="C30" s="127"/>
      <c r="D30" s="3"/>
    </row>
    <row r="31" spans="1:4" ht="49.05" customHeight="1" x14ac:dyDescent="0.45">
      <c r="A31" s="5"/>
      <c r="B31" s="139" t="s">
        <v>53</v>
      </c>
      <c r="C31" s="127"/>
      <c r="D31" s="5"/>
    </row>
    <row r="32" spans="1:4" ht="34.049999999999997" customHeight="1" x14ac:dyDescent="0.45">
      <c r="A32" s="15"/>
      <c r="B32" s="16" t="s">
        <v>54</v>
      </c>
      <c r="C32" s="17" t="s">
        <v>55</v>
      </c>
      <c r="D32" s="15"/>
    </row>
    <row r="33" spans="1:4" ht="34.049999999999997" customHeight="1" x14ac:dyDescent="0.45">
      <c r="A33" s="18"/>
      <c r="B33" s="19" t="s">
        <v>56</v>
      </c>
      <c r="C33" s="20" t="s">
        <v>57</v>
      </c>
      <c r="D33" s="18"/>
    </row>
    <row r="34" spans="1:4" ht="34.049999999999997" customHeight="1" x14ac:dyDescent="0.45">
      <c r="A34" s="21"/>
      <c r="B34" s="22" t="s">
        <v>58</v>
      </c>
      <c r="C34" s="23" t="s">
        <v>59</v>
      </c>
      <c r="D34" s="21"/>
    </row>
    <row r="35" spans="1:4" ht="20" customHeight="1" x14ac:dyDescent="0.45">
      <c r="A35" s="24"/>
      <c r="B35" s="25" t="s">
        <v>60</v>
      </c>
      <c r="C35" s="26" t="s">
        <v>61</v>
      </c>
      <c r="D35" s="24"/>
    </row>
    <row r="36" spans="1:4" ht="6" customHeight="1" x14ac:dyDescent="0.45">
      <c r="A36" s="1"/>
      <c r="B36" s="1"/>
      <c r="C36" s="1"/>
      <c r="D36" s="1"/>
    </row>
    <row r="37" spans="1:4" ht="19.05" customHeight="1" x14ac:dyDescent="0.45">
      <c r="A37" s="3"/>
      <c r="B37" s="137" t="s">
        <v>62</v>
      </c>
      <c r="C37" s="127"/>
      <c r="D37" s="3"/>
    </row>
    <row r="38" spans="1:4" ht="64.05" customHeight="1" x14ac:dyDescent="0.45">
      <c r="A38" s="5"/>
      <c r="B38" s="12" t="s">
        <v>63</v>
      </c>
      <c r="C38" s="14" t="s">
        <v>64</v>
      </c>
      <c r="D38" s="5"/>
    </row>
    <row r="39" spans="1:4" ht="64.05" customHeight="1" x14ac:dyDescent="0.45">
      <c r="A39" s="8"/>
      <c r="B39" s="27" t="s">
        <v>65</v>
      </c>
      <c r="C39" s="28" t="s">
        <v>66</v>
      </c>
      <c r="D39" s="8"/>
    </row>
    <row r="40" spans="1:4" ht="49.05" customHeight="1" x14ac:dyDescent="0.45">
      <c r="A40" s="5"/>
      <c r="B40" s="12" t="s">
        <v>67</v>
      </c>
      <c r="C40" s="14" t="s">
        <v>68</v>
      </c>
      <c r="D40" s="5"/>
    </row>
    <row r="41" spans="1:4" ht="64.05" customHeight="1" x14ac:dyDescent="0.45">
      <c r="A41" s="8"/>
      <c r="B41" s="27" t="s">
        <v>69</v>
      </c>
      <c r="C41" s="28" t="s">
        <v>70</v>
      </c>
      <c r="D41" s="8"/>
    </row>
    <row r="42" spans="1:4" ht="64.05" customHeight="1" x14ac:dyDescent="0.45">
      <c r="A42" s="5"/>
      <c r="B42" s="12" t="s">
        <v>71</v>
      </c>
      <c r="C42" s="14" t="s">
        <v>72</v>
      </c>
      <c r="D42" s="5"/>
    </row>
    <row r="43" spans="1:4" ht="49.05" customHeight="1" x14ac:dyDescent="0.45">
      <c r="A43" s="8"/>
      <c r="B43" s="27" t="s">
        <v>73</v>
      </c>
      <c r="C43" s="28" t="s">
        <v>74</v>
      </c>
      <c r="D43" s="8"/>
    </row>
    <row r="44" spans="1:4" ht="8" customHeight="1" x14ac:dyDescent="0.45">
      <c r="A44" s="1"/>
      <c r="B44" s="1"/>
      <c r="C44" s="1"/>
      <c r="D44" s="1"/>
    </row>
    <row r="45" spans="1:4" ht="34.049999999999997" customHeight="1" x14ac:dyDescent="0.45">
      <c r="A45" s="3"/>
      <c r="B45" s="129" t="s">
        <v>22</v>
      </c>
      <c r="C45" s="127"/>
      <c r="D45" s="3"/>
    </row>
  </sheetData>
  <mergeCells count="11">
    <mergeCell ref="B2:C2"/>
    <mergeCell ref="B3:C3"/>
    <mergeCell ref="B37:C37"/>
    <mergeCell ref="B45:C45"/>
    <mergeCell ref="B14:C14"/>
    <mergeCell ref="B31:C31"/>
    <mergeCell ref="B4:C4"/>
    <mergeCell ref="B6:C6"/>
    <mergeCell ref="B24:C24"/>
    <mergeCell ref="B30:C30"/>
    <mergeCell ref="B16:C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7A9B"/>
  </sheetPr>
  <dimension ref="A1:AA73"/>
  <sheetViews>
    <sheetView showGridLines="0" topLeftCell="A2" zoomScale="80" workbookViewId="0">
      <selection sqref="A1:XFD1"/>
    </sheetView>
  </sheetViews>
  <sheetFormatPr defaultRowHeight="14.25" x14ac:dyDescent="0.45"/>
  <cols>
    <col min="1" max="1" width="3" customWidth="1"/>
    <col min="2" max="2" width="14" customWidth="1"/>
    <col min="3" max="3" width="28" customWidth="1"/>
    <col min="4" max="4" width="55" customWidth="1"/>
    <col min="5" max="5" width="4" customWidth="1"/>
    <col min="6" max="27" width="13" customWidth="1"/>
  </cols>
  <sheetData>
    <row r="1" spans="1:27" ht="49.05" hidden="1" customHeight="1" x14ac:dyDescent="0.45">
      <c r="A1" s="1"/>
      <c r="B1" s="1"/>
      <c r="C1" s="1"/>
      <c r="D1" s="1"/>
      <c r="E1" s="1"/>
      <c r="AA1" s="2" t="s">
        <v>0</v>
      </c>
    </row>
    <row r="2" spans="1:27" ht="28.05" customHeight="1" x14ac:dyDescent="0.45">
      <c r="A2" s="3"/>
      <c r="B2" s="134" t="s">
        <v>75</v>
      </c>
      <c r="C2" s="127"/>
      <c r="D2" s="127"/>
      <c r="E2" s="3"/>
    </row>
    <row r="3" spans="1:27" ht="22.05" customHeight="1" x14ac:dyDescent="0.45">
      <c r="A3" s="3"/>
      <c r="B3" s="141" t="s">
        <v>2</v>
      </c>
      <c r="C3" s="127"/>
      <c r="D3" s="127"/>
      <c r="E3" s="3"/>
    </row>
    <row r="4" spans="1:27" ht="34.049999999999997" customHeight="1" x14ac:dyDescent="0.45">
      <c r="A4" s="4"/>
      <c r="B4" s="136" t="s">
        <v>76</v>
      </c>
      <c r="C4" s="127"/>
      <c r="D4" s="127"/>
      <c r="E4" s="4"/>
    </row>
    <row r="5" spans="1:27" ht="8" customHeight="1" x14ac:dyDescent="0.45">
      <c r="A5" s="1"/>
      <c r="B5" s="1"/>
      <c r="C5" s="1"/>
      <c r="D5" s="1"/>
      <c r="E5" s="1"/>
    </row>
    <row r="6" spans="1:27" ht="19.05" customHeight="1" x14ac:dyDescent="0.45">
      <c r="A6" s="3"/>
      <c r="B6" s="137" t="s">
        <v>77</v>
      </c>
      <c r="C6" s="127"/>
      <c r="D6" s="127"/>
      <c r="E6" s="3"/>
    </row>
    <row r="7" spans="1:27" ht="79.05" customHeight="1" x14ac:dyDescent="0.45">
      <c r="A7" s="5"/>
      <c r="B7" s="132" t="s">
        <v>78</v>
      </c>
      <c r="C7" s="127"/>
      <c r="D7" s="127"/>
      <c r="E7" s="5"/>
    </row>
    <row r="8" spans="1:27" ht="6" customHeight="1" x14ac:dyDescent="0.45">
      <c r="A8" s="1"/>
      <c r="B8" s="1"/>
      <c r="C8" s="1"/>
      <c r="D8" s="1"/>
      <c r="E8" s="1"/>
    </row>
    <row r="9" spans="1:27" ht="19.05" customHeight="1" x14ac:dyDescent="0.45">
      <c r="A9" s="3"/>
      <c r="B9" s="137" t="s">
        <v>79</v>
      </c>
      <c r="C9" s="127"/>
      <c r="D9" s="127"/>
      <c r="E9" s="3"/>
    </row>
    <row r="10" spans="1:27" ht="34.049999999999997" customHeight="1" x14ac:dyDescent="0.45">
      <c r="A10" s="8"/>
      <c r="B10" s="27" t="s">
        <v>80</v>
      </c>
      <c r="C10" s="145" t="s">
        <v>81</v>
      </c>
      <c r="D10" s="143"/>
      <c r="E10" s="8"/>
    </row>
    <row r="11" spans="1:27" ht="20" customHeight="1" x14ac:dyDescent="0.45">
      <c r="A11" s="5"/>
      <c r="B11" s="12" t="s">
        <v>82</v>
      </c>
      <c r="C11" s="142" t="s">
        <v>83</v>
      </c>
      <c r="D11" s="143"/>
      <c r="E11" s="5"/>
    </row>
    <row r="12" spans="1:27" ht="20" customHeight="1" x14ac:dyDescent="0.45">
      <c r="A12" s="8"/>
      <c r="B12" s="27" t="s">
        <v>84</v>
      </c>
      <c r="C12" s="145" t="s">
        <v>85</v>
      </c>
      <c r="D12" s="143"/>
      <c r="E12" s="8"/>
    </row>
    <row r="13" spans="1:27" ht="34.049999999999997" customHeight="1" x14ac:dyDescent="0.45">
      <c r="A13" s="5"/>
      <c r="B13" s="12" t="s">
        <v>86</v>
      </c>
      <c r="C13" s="142" t="s">
        <v>87</v>
      </c>
      <c r="D13" s="143"/>
      <c r="E13" s="5"/>
    </row>
    <row r="14" spans="1:27" ht="34.049999999999997" customHeight="1" x14ac:dyDescent="0.45">
      <c r="A14" s="8"/>
      <c r="B14" s="27" t="s">
        <v>88</v>
      </c>
      <c r="C14" s="145" t="s">
        <v>89</v>
      </c>
      <c r="D14" s="143"/>
      <c r="E14" s="8"/>
    </row>
    <row r="15" spans="1:27" ht="20" customHeight="1" x14ac:dyDescent="0.45">
      <c r="A15" s="5"/>
      <c r="B15" s="12" t="s">
        <v>90</v>
      </c>
      <c r="C15" s="142" t="s">
        <v>91</v>
      </c>
      <c r="D15" s="143"/>
      <c r="E15" s="5"/>
    </row>
    <row r="16" spans="1:27" ht="34.049999999999997" customHeight="1" x14ac:dyDescent="0.45">
      <c r="A16" s="8"/>
      <c r="B16" s="27" t="s">
        <v>92</v>
      </c>
      <c r="C16" s="145" t="s">
        <v>93</v>
      </c>
      <c r="D16" s="143"/>
      <c r="E16" s="8"/>
    </row>
    <row r="17" spans="1:5" ht="20" customHeight="1" x14ac:dyDescent="0.45">
      <c r="A17" s="5"/>
      <c r="B17" s="12" t="s">
        <v>94</v>
      </c>
      <c r="C17" s="142" t="s">
        <v>95</v>
      </c>
      <c r="D17" s="143"/>
      <c r="E17" s="5"/>
    </row>
    <row r="18" spans="1:5" ht="20" customHeight="1" x14ac:dyDescent="0.45">
      <c r="A18" s="8"/>
      <c r="B18" s="27" t="s">
        <v>96</v>
      </c>
      <c r="C18" s="145" t="s">
        <v>97</v>
      </c>
      <c r="D18" s="143"/>
      <c r="E18" s="8"/>
    </row>
    <row r="19" spans="1:5" ht="20" customHeight="1" x14ac:dyDescent="0.45">
      <c r="A19" s="5"/>
      <c r="B19" s="12" t="s">
        <v>98</v>
      </c>
      <c r="C19" s="142" t="s">
        <v>99</v>
      </c>
      <c r="D19" s="143"/>
      <c r="E19" s="5"/>
    </row>
    <row r="20" spans="1:5" ht="34.049999999999997" customHeight="1" x14ac:dyDescent="0.45">
      <c r="A20" s="8"/>
      <c r="B20" s="27" t="s">
        <v>100</v>
      </c>
      <c r="C20" s="145" t="s">
        <v>101</v>
      </c>
      <c r="D20" s="143"/>
      <c r="E20" s="8"/>
    </row>
    <row r="21" spans="1:5" ht="34.049999999999997" customHeight="1" x14ac:dyDescent="0.45">
      <c r="A21" s="5"/>
      <c r="B21" s="12" t="s">
        <v>102</v>
      </c>
      <c r="C21" s="142" t="s">
        <v>103</v>
      </c>
      <c r="D21" s="143"/>
      <c r="E21" s="5"/>
    </row>
    <row r="22" spans="1:5" ht="6" customHeight="1" x14ac:dyDescent="0.45">
      <c r="A22" s="1"/>
      <c r="B22" s="1"/>
      <c r="C22" s="1"/>
      <c r="D22" s="1"/>
      <c r="E22" s="1"/>
    </row>
    <row r="23" spans="1:5" ht="19.05" customHeight="1" x14ac:dyDescent="0.45">
      <c r="A23" s="3"/>
      <c r="B23" s="137" t="s">
        <v>104</v>
      </c>
      <c r="C23" s="127"/>
      <c r="D23" s="127"/>
      <c r="E23" s="3"/>
    </row>
    <row r="24" spans="1:5" ht="22.05" customHeight="1" x14ac:dyDescent="0.45">
      <c r="A24" s="5"/>
      <c r="B24" s="29" t="s">
        <v>105</v>
      </c>
      <c r="C24" s="142" t="s">
        <v>106</v>
      </c>
      <c r="D24" s="143"/>
      <c r="E24" s="5"/>
    </row>
    <row r="25" spans="1:5" ht="22.05" customHeight="1" x14ac:dyDescent="0.45">
      <c r="A25" s="5"/>
      <c r="B25" s="30" t="s">
        <v>107</v>
      </c>
      <c r="C25" s="142" t="s">
        <v>108</v>
      </c>
      <c r="D25" s="143"/>
      <c r="E25" s="5"/>
    </row>
    <row r="26" spans="1:5" ht="22.05" customHeight="1" x14ac:dyDescent="0.45">
      <c r="A26" s="5"/>
      <c r="B26" s="31" t="s">
        <v>109</v>
      </c>
      <c r="C26" s="142" t="s">
        <v>110</v>
      </c>
      <c r="D26" s="143"/>
      <c r="E26" s="5"/>
    </row>
    <row r="27" spans="1:5" ht="6" customHeight="1" x14ac:dyDescent="0.45">
      <c r="A27" s="1"/>
      <c r="B27" s="1"/>
      <c r="C27" s="1"/>
      <c r="D27" s="1"/>
      <c r="E27" s="1"/>
    </row>
    <row r="28" spans="1:5" ht="19.05" customHeight="1" x14ac:dyDescent="0.45">
      <c r="A28" s="3"/>
      <c r="B28" s="137" t="s">
        <v>111</v>
      </c>
      <c r="C28" s="127"/>
      <c r="D28" s="127"/>
      <c r="E28" s="3"/>
    </row>
    <row r="29" spans="1:5" ht="19.05" customHeight="1" x14ac:dyDescent="0.45">
      <c r="A29" s="3"/>
      <c r="B29" s="32" t="s">
        <v>112</v>
      </c>
      <c r="C29" s="11" t="s">
        <v>113</v>
      </c>
      <c r="D29" s="11" t="s">
        <v>114</v>
      </c>
      <c r="E29" s="3"/>
    </row>
    <row r="30" spans="1:5" ht="49.05" customHeight="1" x14ac:dyDescent="0.45">
      <c r="A30" s="8"/>
      <c r="B30" s="29" t="s">
        <v>115</v>
      </c>
      <c r="C30" s="27" t="s">
        <v>116</v>
      </c>
      <c r="D30" s="33" t="s">
        <v>117</v>
      </c>
      <c r="E30" s="8"/>
    </row>
    <row r="31" spans="1:5" ht="49.05" customHeight="1" x14ac:dyDescent="0.45">
      <c r="A31" s="5"/>
      <c r="B31" s="29" t="s">
        <v>118</v>
      </c>
      <c r="C31" s="12" t="s">
        <v>119</v>
      </c>
      <c r="D31" s="34" t="s">
        <v>120</v>
      </c>
      <c r="E31" s="5"/>
    </row>
    <row r="32" spans="1:5" ht="49.05" customHeight="1" x14ac:dyDescent="0.45">
      <c r="A32" s="8"/>
      <c r="B32" s="29" t="s">
        <v>121</v>
      </c>
      <c r="C32" s="27" t="s">
        <v>122</v>
      </c>
      <c r="D32" s="33" t="s">
        <v>123</v>
      </c>
      <c r="E32" s="8"/>
    </row>
    <row r="33" spans="1:5" ht="34.049999999999997" customHeight="1" x14ac:dyDescent="0.45">
      <c r="A33" s="5"/>
      <c r="B33" s="29" t="s">
        <v>124</v>
      </c>
      <c r="C33" s="12" t="s">
        <v>125</v>
      </c>
      <c r="D33" s="34" t="s">
        <v>126</v>
      </c>
      <c r="E33" s="5"/>
    </row>
    <row r="34" spans="1:5" ht="64.05" customHeight="1" x14ac:dyDescent="0.45">
      <c r="A34" s="8"/>
      <c r="B34" s="29" t="s">
        <v>127</v>
      </c>
      <c r="C34" s="27" t="s">
        <v>128</v>
      </c>
      <c r="D34" s="33" t="s">
        <v>129</v>
      </c>
      <c r="E34" s="8"/>
    </row>
    <row r="35" spans="1:5" ht="64.05" customHeight="1" x14ac:dyDescent="0.45">
      <c r="A35" s="5"/>
      <c r="B35" s="29" t="s">
        <v>130</v>
      </c>
      <c r="C35" s="12" t="s">
        <v>131</v>
      </c>
      <c r="D35" s="34" t="s">
        <v>132</v>
      </c>
      <c r="E35" s="5"/>
    </row>
    <row r="36" spans="1:5" ht="34.049999999999997" customHeight="1" x14ac:dyDescent="0.45">
      <c r="A36" s="8"/>
      <c r="B36" s="29" t="s">
        <v>133</v>
      </c>
      <c r="C36" s="27" t="s">
        <v>134</v>
      </c>
      <c r="D36" s="33" t="s">
        <v>135</v>
      </c>
      <c r="E36" s="8"/>
    </row>
    <row r="37" spans="1:5" ht="34.049999999999997" customHeight="1" x14ac:dyDescent="0.45">
      <c r="A37" s="5"/>
      <c r="B37" s="29" t="s">
        <v>136</v>
      </c>
      <c r="C37" s="12" t="s">
        <v>137</v>
      </c>
      <c r="D37" s="34" t="s">
        <v>138</v>
      </c>
      <c r="E37" s="5"/>
    </row>
    <row r="38" spans="1:5" ht="34.049999999999997" customHeight="1" x14ac:dyDescent="0.45">
      <c r="A38" s="8"/>
      <c r="B38" s="29" t="s">
        <v>139</v>
      </c>
      <c r="C38" s="27" t="s">
        <v>140</v>
      </c>
      <c r="D38" s="33" t="s">
        <v>141</v>
      </c>
      <c r="E38" s="8"/>
    </row>
    <row r="39" spans="1:5" ht="49.05" customHeight="1" x14ac:dyDescent="0.45">
      <c r="A39" s="5"/>
      <c r="B39" s="29" t="s">
        <v>142</v>
      </c>
      <c r="C39" s="12" t="s">
        <v>143</v>
      </c>
      <c r="D39" s="34" t="s">
        <v>144</v>
      </c>
      <c r="E39" s="5"/>
    </row>
    <row r="40" spans="1:5" ht="49.05" customHeight="1" x14ac:dyDescent="0.45">
      <c r="A40" s="8"/>
      <c r="B40" s="30" t="s">
        <v>145</v>
      </c>
      <c r="C40" s="27" t="s">
        <v>146</v>
      </c>
      <c r="D40" s="33" t="s">
        <v>147</v>
      </c>
      <c r="E40" s="8"/>
    </row>
    <row r="41" spans="1:5" ht="34.049999999999997" customHeight="1" x14ac:dyDescent="0.45">
      <c r="A41" s="5"/>
      <c r="B41" s="29" t="s">
        <v>148</v>
      </c>
      <c r="C41" s="12" t="s">
        <v>149</v>
      </c>
      <c r="D41" s="34" t="s">
        <v>150</v>
      </c>
      <c r="E41" s="5"/>
    </row>
    <row r="42" spans="1:5" ht="34.049999999999997" customHeight="1" x14ac:dyDescent="0.45">
      <c r="A42" s="8"/>
      <c r="B42" s="31" t="s">
        <v>151</v>
      </c>
      <c r="C42" s="27" t="s">
        <v>152</v>
      </c>
      <c r="D42" s="33" t="s">
        <v>153</v>
      </c>
      <c r="E42" s="8"/>
    </row>
    <row r="43" spans="1:5" ht="34.049999999999997" customHeight="1" x14ac:dyDescent="0.45">
      <c r="A43" s="5"/>
      <c r="B43" s="29" t="s">
        <v>154</v>
      </c>
      <c r="C43" s="12" t="s">
        <v>155</v>
      </c>
      <c r="D43" s="34" t="s">
        <v>156</v>
      </c>
      <c r="E43" s="5"/>
    </row>
    <row r="44" spans="1:5" ht="49.05" customHeight="1" x14ac:dyDescent="0.45">
      <c r="A44" s="8"/>
      <c r="B44" s="31" t="s">
        <v>157</v>
      </c>
      <c r="C44" s="27" t="s">
        <v>158</v>
      </c>
      <c r="D44" s="33" t="s">
        <v>159</v>
      </c>
      <c r="E44" s="8"/>
    </row>
    <row r="45" spans="1:5" ht="49.05" customHeight="1" x14ac:dyDescent="0.45">
      <c r="A45" s="5"/>
      <c r="B45" s="30" t="s">
        <v>160</v>
      </c>
      <c r="C45" s="12" t="s">
        <v>161</v>
      </c>
      <c r="D45" s="34" t="s">
        <v>162</v>
      </c>
      <c r="E45" s="5"/>
    </row>
    <row r="46" spans="1:5" ht="34.049999999999997" customHeight="1" x14ac:dyDescent="0.45">
      <c r="A46" s="8"/>
      <c r="B46" s="29" t="s">
        <v>163</v>
      </c>
      <c r="C46" s="27" t="s">
        <v>164</v>
      </c>
      <c r="D46" s="33" t="s">
        <v>165</v>
      </c>
      <c r="E46" s="8"/>
    </row>
    <row r="47" spans="1:5" ht="49.05" customHeight="1" x14ac:dyDescent="0.45">
      <c r="A47" s="5"/>
      <c r="B47" s="29" t="s">
        <v>166</v>
      </c>
      <c r="C47" s="12" t="s">
        <v>167</v>
      </c>
      <c r="D47" s="34" t="s">
        <v>168</v>
      </c>
      <c r="E47" s="5"/>
    </row>
    <row r="48" spans="1:5" ht="49.05" customHeight="1" x14ac:dyDescent="0.45">
      <c r="A48" s="8"/>
      <c r="B48" s="30" t="s">
        <v>169</v>
      </c>
      <c r="C48" s="27" t="s">
        <v>170</v>
      </c>
      <c r="D48" s="33" t="s">
        <v>171</v>
      </c>
      <c r="E48" s="8"/>
    </row>
    <row r="49" spans="1:5" ht="49.05" customHeight="1" x14ac:dyDescent="0.45">
      <c r="A49" s="5"/>
      <c r="B49" s="30" t="s">
        <v>172</v>
      </c>
      <c r="C49" s="12" t="s">
        <v>173</v>
      </c>
      <c r="D49" s="34" t="s">
        <v>174</v>
      </c>
      <c r="E49" s="5"/>
    </row>
    <row r="50" spans="1:5" ht="32" customHeight="1" x14ac:dyDescent="0.45">
      <c r="A50" s="8"/>
      <c r="B50" s="30" t="s">
        <v>175</v>
      </c>
      <c r="C50" s="27" t="s">
        <v>176</v>
      </c>
      <c r="D50" s="33" t="s">
        <v>177</v>
      </c>
      <c r="E50" s="8"/>
    </row>
    <row r="51" spans="1:5" ht="34.049999999999997" customHeight="1" x14ac:dyDescent="0.45">
      <c r="A51" s="5"/>
      <c r="B51" s="30" t="s">
        <v>178</v>
      </c>
      <c r="C51" s="12" t="s">
        <v>179</v>
      </c>
      <c r="D51" s="34" t="s">
        <v>180</v>
      </c>
      <c r="E51" s="5"/>
    </row>
    <row r="52" spans="1:5" ht="6" customHeight="1" x14ac:dyDescent="0.45">
      <c r="A52" s="1"/>
      <c r="B52" s="1"/>
      <c r="C52" s="1"/>
      <c r="D52" s="1"/>
      <c r="E52" s="1"/>
    </row>
    <row r="53" spans="1:5" ht="19.05" customHeight="1" x14ac:dyDescent="0.45">
      <c r="A53" s="3"/>
      <c r="B53" s="137" t="s">
        <v>181</v>
      </c>
      <c r="C53" s="127"/>
      <c r="D53" s="127"/>
      <c r="E53" s="3"/>
    </row>
    <row r="54" spans="1:5" ht="64.05" customHeight="1" x14ac:dyDescent="0.45">
      <c r="A54" s="5"/>
      <c r="B54" s="132" t="s">
        <v>182</v>
      </c>
      <c r="C54" s="127"/>
      <c r="D54" s="127"/>
      <c r="E54" s="5"/>
    </row>
    <row r="55" spans="1:5" ht="19.05" customHeight="1" x14ac:dyDescent="0.45">
      <c r="A55" s="3"/>
      <c r="B55" s="148" t="s">
        <v>183</v>
      </c>
      <c r="C55" s="32" t="s">
        <v>184</v>
      </c>
      <c r="D55" s="32"/>
      <c r="E55" s="3"/>
    </row>
    <row r="56" spans="1:5" ht="20" customHeight="1" x14ac:dyDescent="0.45">
      <c r="A56" s="5"/>
      <c r="B56" s="28" t="s">
        <v>185</v>
      </c>
      <c r="C56" s="35" t="s">
        <v>186</v>
      </c>
      <c r="D56" s="150" t="s">
        <v>187</v>
      </c>
      <c r="E56" s="5"/>
    </row>
    <row r="57" spans="1:5" ht="20" customHeight="1" x14ac:dyDescent="0.45">
      <c r="A57" s="5"/>
      <c r="B57" s="28" t="s">
        <v>188</v>
      </c>
      <c r="C57" s="35" t="s">
        <v>189</v>
      </c>
      <c r="D57" s="147" t="s">
        <v>190</v>
      </c>
      <c r="E57" s="5"/>
    </row>
    <row r="58" spans="1:5" ht="20" customHeight="1" x14ac:dyDescent="0.45">
      <c r="A58" s="5"/>
      <c r="B58" s="28" t="s">
        <v>191</v>
      </c>
      <c r="C58" s="35" t="s">
        <v>192</v>
      </c>
      <c r="D58" s="151" t="s">
        <v>193</v>
      </c>
      <c r="E58" s="5"/>
    </row>
    <row r="59" spans="1:5" ht="20" customHeight="1" x14ac:dyDescent="0.45">
      <c r="A59" s="5"/>
      <c r="B59" s="28" t="s">
        <v>60</v>
      </c>
      <c r="C59" s="35"/>
      <c r="D59" s="149" t="s">
        <v>60</v>
      </c>
      <c r="E59" s="5"/>
    </row>
    <row r="60" spans="1:5" ht="6" customHeight="1" x14ac:dyDescent="0.45">
      <c r="A60" s="1"/>
      <c r="B60" s="1"/>
      <c r="C60" s="1"/>
      <c r="D60" s="1"/>
      <c r="E60" s="1"/>
    </row>
    <row r="61" spans="1:5" ht="19.05" customHeight="1" x14ac:dyDescent="0.45">
      <c r="A61" s="3"/>
      <c r="B61" s="137" t="s">
        <v>194</v>
      </c>
      <c r="C61" s="127"/>
      <c r="D61" s="127"/>
      <c r="E61" s="3"/>
    </row>
    <row r="62" spans="1:5" ht="64.05" customHeight="1" x14ac:dyDescent="0.45">
      <c r="A62" s="5"/>
      <c r="B62" s="132" t="s">
        <v>195</v>
      </c>
      <c r="C62" s="127"/>
      <c r="D62" s="127"/>
      <c r="E62" s="5"/>
    </row>
    <row r="63" spans="1:5" ht="34.049999999999997" customHeight="1" x14ac:dyDescent="0.45">
      <c r="A63" s="8"/>
      <c r="B63" s="27" t="s">
        <v>196</v>
      </c>
      <c r="C63" s="146" t="s">
        <v>197</v>
      </c>
      <c r="D63" s="143"/>
      <c r="E63" s="8"/>
    </row>
    <row r="64" spans="1:5" ht="49.05" customHeight="1" x14ac:dyDescent="0.45">
      <c r="A64" s="5"/>
      <c r="B64" s="12" t="s">
        <v>198</v>
      </c>
      <c r="C64" s="144" t="s">
        <v>199</v>
      </c>
      <c r="D64" s="143"/>
      <c r="E64" s="5"/>
    </row>
    <row r="65" spans="1:5" ht="34.049999999999997" customHeight="1" x14ac:dyDescent="0.45">
      <c r="A65" s="8"/>
      <c r="B65" s="27" t="s">
        <v>200</v>
      </c>
      <c r="C65" s="146" t="s">
        <v>201</v>
      </c>
      <c r="D65" s="143"/>
      <c r="E65" s="8"/>
    </row>
    <row r="66" spans="1:5" ht="34.049999999999997" customHeight="1" x14ac:dyDescent="0.45">
      <c r="A66" s="5"/>
      <c r="B66" s="12" t="s">
        <v>202</v>
      </c>
      <c r="C66" s="144" t="s">
        <v>203</v>
      </c>
      <c r="D66" s="143"/>
      <c r="E66" s="5"/>
    </row>
    <row r="67" spans="1:5" ht="6" customHeight="1" x14ac:dyDescent="0.45">
      <c r="A67" s="1"/>
      <c r="B67" s="1"/>
      <c r="C67" s="1"/>
      <c r="D67" s="1"/>
      <c r="E67" s="1"/>
    </row>
    <row r="68" spans="1:5" ht="19.05" customHeight="1" x14ac:dyDescent="0.45">
      <c r="A68" s="3"/>
      <c r="B68" s="137" t="s">
        <v>204</v>
      </c>
      <c r="C68" s="127"/>
      <c r="D68" s="127"/>
      <c r="E68" s="3"/>
    </row>
    <row r="69" spans="1:5" ht="49.05" customHeight="1" x14ac:dyDescent="0.45">
      <c r="A69" s="8"/>
      <c r="B69" s="27" t="s">
        <v>205</v>
      </c>
      <c r="C69" s="146" t="s">
        <v>206</v>
      </c>
      <c r="D69" s="143"/>
      <c r="E69" s="8"/>
    </row>
    <row r="70" spans="1:5" ht="49.05" customHeight="1" x14ac:dyDescent="0.45">
      <c r="A70" s="5"/>
      <c r="B70" s="12" t="s">
        <v>207</v>
      </c>
      <c r="C70" s="144" t="s">
        <v>208</v>
      </c>
      <c r="D70" s="143"/>
      <c r="E70" s="5"/>
    </row>
    <row r="71" spans="1:5" ht="34.049999999999997" customHeight="1" x14ac:dyDescent="0.45">
      <c r="A71" s="8"/>
      <c r="B71" s="27" t="s">
        <v>92</v>
      </c>
      <c r="C71" s="146" t="s">
        <v>209</v>
      </c>
      <c r="D71" s="143"/>
      <c r="E71" s="8"/>
    </row>
    <row r="72" spans="1:5" ht="8" customHeight="1" x14ac:dyDescent="0.45">
      <c r="A72" s="1"/>
      <c r="B72" s="1"/>
      <c r="C72" s="1"/>
      <c r="D72" s="1"/>
      <c r="E72" s="1"/>
    </row>
    <row r="73" spans="1:5" ht="34.049999999999997" customHeight="1" x14ac:dyDescent="0.45">
      <c r="A73" s="3"/>
      <c r="B73" s="129" t="s">
        <v>22</v>
      </c>
      <c r="C73" s="127"/>
      <c r="D73" s="127"/>
      <c r="E73" s="3"/>
    </row>
  </sheetData>
  <mergeCells count="41">
    <mergeCell ref="B73:D73"/>
    <mergeCell ref="C14:D14"/>
    <mergeCell ref="B53:D53"/>
    <mergeCell ref="C26:D26"/>
    <mergeCell ref="C64:D64"/>
    <mergeCell ref="C20:D20"/>
    <mergeCell ref="B28:D28"/>
    <mergeCell ref="D59"/>
    <mergeCell ref="C69:D69"/>
    <mergeCell ref="D56"/>
    <mergeCell ref="D58"/>
    <mergeCell ref="C24:D24"/>
    <mergeCell ref="C15:D15"/>
    <mergeCell ref="B23:D23"/>
    <mergeCell ref="C71:D71"/>
    <mergeCell ref="D57"/>
    <mergeCell ref="B62:D62"/>
    <mergeCell ref="C70:D70"/>
    <mergeCell ref="B7:D7"/>
    <mergeCell ref="C17:D17"/>
    <mergeCell ref="B54:D54"/>
    <mergeCell ref="B9:D9"/>
    <mergeCell ref="B68:D68"/>
    <mergeCell ref="C12:D12"/>
    <mergeCell ref="C21:D21"/>
    <mergeCell ref="C11:D11"/>
    <mergeCell ref="C10:D10"/>
    <mergeCell ref="C16:D16"/>
    <mergeCell ref="C25:D25"/>
    <mergeCell ref="C63:D63"/>
    <mergeCell ref="B2:D2"/>
    <mergeCell ref="B3:D3"/>
    <mergeCell ref="C19:D19"/>
    <mergeCell ref="C66:D66"/>
    <mergeCell ref="C13:D13"/>
    <mergeCell ref="C18:D18"/>
    <mergeCell ref="B4:D4"/>
    <mergeCell ref="B6:D6"/>
    <mergeCell ref="C65:D65"/>
    <mergeCell ref="B61:D61"/>
    <mergeCell ref="B5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6E85"/>
  </sheetPr>
  <dimension ref="A1:AA75"/>
  <sheetViews>
    <sheetView showGridLines="0" topLeftCell="A2" zoomScale="80" workbookViewId="0">
      <selection sqref="A1:XFD1"/>
    </sheetView>
  </sheetViews>
  <sheetFormatPr defaultRowHeight="14.25" x14ac:dyDescent="0.45"/>
  <cols>
    <col min="1" max="1" width="3" customWidth="1"/>
    <col min="2" max="2" width="34" customWidth="1"/>
    <col min="3" max="3" width="38" customWidth="1"/>
    <col min="4" max="4" width="32" customWidth="1"/>
    <col min="5" max="5" width="4" customWidth="1"/>
    <col min="6" max="27" width="13" customWidth="1"/>
  </cols>
  <sheetData>
    <row r="1" spans="1:27" ht="49.05" hidden="1" customHeight="1" x14ac:dyDescent="0.45">
      <c r="A1" s="1"/>
      <c r="B1" s="1"/>
      <c r="C1" s="1"/>
      <c r="D1" s="1"/>
      <c r="E1" s="1"/>
      <c r="AA1" s="2" t="s">
        <v>0</v>
      </c>
    </row>
    <row r="2" spans="1:27" ht="28.05" customHeight="1" x14ac:dyDescent="0.45">
      <c r="A2" s="3"/>
      <c r="B2" s="134" t="s">
        <v>210</v>
      </c>
      <c r="C2" s="127"/>
      <c r="D2" s="127"/>
      <c r="E2" s="3"/>
    </row>
    <row r="3" spans="1:27" ht="22.05" customHeight="1" x14ac:dyDescent="0.45">
      <c r="A3" s="3"/>
      <c r="B3" s="141" t="s">
        <v>2</v>
      </c>
      <c r="C3" s="127"/>
      <c r="D3" s="127"/>
      <c r="E3" s="3"/>
    </row>
    <row r="4" spans="1:27" ht="34.049999999999997" customHeight="1" x14ac:dyDescent="0.45">
      <c r="A4" s="4"/>
      <c r="B4" s="136" t="s">
        <v>211</v>
      </c>
      <c r="C4" s="127"/>
      <c r="D4" s="127"/>
      <c r="E4" s="4"/>
    </row>
    <row r="5" spans="1:27" ht="8" customHeight="1" x14ac:dyDescent="0.45">
      <c r="A5" s="1"/>
      <c r="B5" s="1"/>
      <c r="C5" s="1"/>
      <c r="D5" s="1"/>
      <c r="E5" s="1"/>
    </row>
    <row r="6" spans="1:27" ht="19.05" customHeight="1" x14ac:dyDescent="0.45">
      <c r="A6" s="3"/>
      <c r="B6" s="137" t="s">
        <v>212</v>
      </c>
      <c r="C6" s="127"/>
      <c r="D6" s="127"/>
      <c r="E6" s="3"/>
    </row>
    <row r="7" spans="1:27" ht="19.05" customHeight="1" x14ac:dyDescent="0.45">
      <c r="A7" s="3"/>
      <c r="B7" s="32" t="s">
        <v>213</v>
      </c>
      <c r="C7" s="32" t="s">
        <v>214</v>
      </c>
      <c r="D7" s="32" t="s">
        <v>215</v>
      </c>
      <c r="E7" s="3"/>
    </row>
    <row r="8" spans="1:27" ht="34.049999999999997" customHeight="1" x14ac:dyDescent="0.45">
      <c r="A8" s="5"/>
      <c r="B8" s="36" t="s">
        <v>216</v>
      </c>
      <c r="C8" s="37"/>
      <c r="D8" s="38" t="s">
        <v>217</v>
      </c>
      <c r="E8" s="5"/>
    </row>
    <row r="9" spans="1:27" ht="34.049999999999997" customHeight="1" x14ac:dyDescent="0.45">
      <c r="A9" s="5"/>
      <c r="B9" s="36" t="s">
        <v>218</v>
      </c>
      <c r="C9" s="37"/>
      <c r="D9" s="38" t="s">
        <v>219</v>
      </c>
      <c r="E9" s="5"/>
    </row>
    <row r="10" spans="1:27" ht="34.049999999999997" customHeight="1" x14ac:dyDescent="0.45">
      <c r="A10" s="5"/>
      <c r="B10" s="36" t="s">
        <v>220</v>
      </c>
      <c r="C10" s="37"/>
      <c r="D10" s="38" t="s">
        <v>221</v>
      </c>
      <c r="E10" s="5"/>
    </row>
    <row r="11" spans="1:27" ht="64.05" customHeight="1" x14ac:dyDescent="0.45">
      <c r="A11" s="5"/>
      <c r="B11" s="36" t="s">
        <v>222</v>
      </c>
      <c r="C11" s="37"/>
      <c r="D11" s="38" t="s">
        <v>223</v>
      </c>
      <c r="E11" s="5"/>
    </row>
    <row r="12" spans="1:27" ht="49.05" customHeight="1" x14ac:dyDescent="0.45">
      <c r="A12" s="5"/>
      <c r="B12" s="36" t="s">
        <v>224</v>
      </c>
      <c r="C12" s="37"/>
      <c r="D12" s="38" t="s">
        <v>225</v>
      </c>
      <c r="E12" s="5"/>
    </row>
    <row r="13" spans="1:27" ht="34.049999999999997" customHeight="1" x14ac:dyDescent="0.45">
      <c r="A13" s="5"/>
      <c r="B13" s="36" t="s">
        <v>226</v>
      </c>
      <c r="C13" s="37"/>
      <c r="D13" s="38" t="s">
        <v>227</v>
      </c>
      <c r="E13" s="5"/>
    </row>
    <row r="14" spans="1:27" ht="49.05" customHeight="1" x14ac:dyDescent="0.45">
      <c r="A14" s="5"/>
      <c r="B14" s="36" t="s">
        <v>228</v>
      </c>
      <c r="C14" s="37"/>
      <c r="D14" s="38" t="s">
        <v>229</v>
      </c>
      <c r="E14" s="5"/>
    </row>
    <row r="15" spans="1:27" ht="20" customHeight="1" x14ac:dyDescent="0.45">
      <c r="A15" s="5"/>
      <c r="B15" s="36" t="s">
        <v>230</v>
      </c>
      <c r="C15" s="37"/>
      <c r="D15" s="38"/>
      <c r="E15" s="5"/>
    </row>
    <row r="16" spans="1:27" ht="6" customHeight="1" x14ac:dyDescent="0.45">
      <c r="A16" s="1"/>
      <c r="B16" s="1"/>
      <c r="C16" s="1"/>
      <c r="D16" s="1"/>
      <c r="E16" s="1"/>
    </row>
    <row r="17" spans="1:5" ht="19.05" customHeight="1" x14ac:dyDescent="0.45">
      <c r="A17" s="3"/>
      <c r="B17" s="137" t="s">
        <v>231</v>
      </c>
      <c r="C17" s="127"/>
      <c r="D17" s="127"/>
      <c r="E17" s="3"/>
    </row>
    <row r="18" spans="1:5" ht="19.05" customHeight="1" x14ac:dyDescent="0.45">
      <c r="A18" s="3"/>
      <c r="B18" s="32" t="s">
        <v>213</v>
      </c>
      <c r="C18" s="32" t="s">
        <v>214</v>
      </c>
      <c r="D18" s="32" t="s">
        <v>215</v>
      </c>
      <c r="E18" s="3"/>
    </row>
    <row r="19" spans="1:5" ht="64.05" customHeight="1" x14ac:dyDescent="0.45">
      <c r="A19" s="5"/>
      <c r="B19" s="36" t="s">
        <v>232</v>
      </c>
      <c r="C19" s="37"/>
      <c r="D19" s="38" t="s">
        <v>233</v>
      </c>
      <c r="E19" s="5"/>
    </row>
    <row r="20" spans="1:5" ht="64.05" customHeight="1" x14ac:dyDescent="0.45">
      <c r="A20" s="5"/>
      <c r="B20" s="36" t="s">
        <v>234</v>
      </c>
      <c r="C20" s="37"/>
      <c r="D20" s="38" t="s">
        <v>235</v>
      </c>
      <c r="E20" s="5"/>
    </row>
    <row r="21" spans="1:5" ht="49.05" customHeight="1" x14ac:dyDescent="0.45">
      <c r="A21" s="5"/>
      <c r="B21" s="36" t="s">
        <v>236</v>
      </c>
      <c r="C21" s="37"/>
      <c r="D21" s="38" t="s">
        <v>237</v>
      </c>
      <c r="E21" s="5"/>
    </row>
    <row r="22" spans="1:5" ht="49.05" customHeight="1" x14ac:dyDescent="0.45">
      <c r="A22" s="5"/>
      <c r="B22" s="36" t="s">
        <v>238</v>
      </c>
      <c r="C22" s="37"/>
      <c r="D22" s="38" t="s">
        <v>239</v>
      </c>
      <c r="E22" s="5"/>
    </row>
    <row r="23" spans="1:5" ht="34.049999999999997" customHeight="1" x14ac:dyDescent="0.45">
      <c r="A23" s="5"/>
      <c r="B23" s="36" t="s">
        <v>240</v>
      </c>
      <c r="C23" s="37"/>
      <c r="D23" s="38" t="s">
        <v>241</v>
      </c>
      <c r="E23" s="5"/>
    </row>
    <row r="24" spans="1:5" ht="64.05" customHeight="1" x14ac:dyDescent="0.45">
      <c r="A24" s="5"/>
      <c r="B24" s="36" t="s">
        <v>242</v>
      </c>
      <c r="C24" s="37"/>
      <c r="D24" s="38" t="s">
        <v>243</v>
      </c>
      <c r="E24" s="5"/>
    </row>
    <row r="25" spans="1:5" ht="64.05" customHeight="1" x14ac:dyDescent="0.45">
      <c r="A25" s="5"/>
      <c r="B25" s="36" t="s">
        <v>244</v>
      </c>
      <c r="C25" s="37"/>
      <c r="D25" s="38" t="s">
        <v>245</v>
      </c>
      <c r="E25" s="5"/>
    </row>
    <row r="26" spans="1:5" ht="64.05" customHeight="1" x14ac:dyDescent="0.45">
      <c r="A26" s="5"/>
      <c r="B26" s="36" t="s">
        <v>246</v>
      </c>
      <c r="C26" s="37"/>
      <c r="D26" s="38" t="s">
        <v>247</v>
      </c>
      <c r="E26" s="5"/>
    </row>
    <row r="27" spans="1:5" ht="6" customHeight="1" x14ac:dyDescent="0.45">
      <c r="A27" s="1"/>
      <c r="B27" s="1"/>
      <c r="C27" s="1"/>
      <c r="D27" s="1"/>
      <c r="E27" s="1"/>
    </row>
    <row r="28" spans="1:5" ht="19.05" customHeight="1" x14ac:dyDescent="0.45">
      <c r="A28" s="3"/>
      <c r="B28" s="137" t="s">
        <v>248</v>
      </c>
      <c r="C28" s="127"/>
      <c r="D28" s="127"/>
      <c r="E28" s="3"/>
    </row>
    <row r="29" spans="1:5" ht="19.05" customHeight="1" x14ac:dyDescent="0.45">
      <c r="A29" s="3"/>
      <c r="B29" s="32" t="s">
        <v>213</v>
      </c>
      <c r="C29" s="32" t="s">
        <v>214</v>
      </c>
      <c r="D29" s="32" t="s">
        <v>215</v>
      </c>
      <c r="E29" s="3"/>
    </row>
    <row r="30" spans="1:5" ht="34.049999999999997" customHeight="1" x14ac:dyDescent="0.45">
      <c r="A30" s="5"/>
      <c r="B30" s="36" t="s">
        <v>249</v>
      </c>
      <c r="C30" s="37"/>
      <c r="D30" s="38" t="s">
        <v>250</v>
      </c>
      <c r="E30" s="5"/>
    </row>
    <row r="31" spans="1:5" ht="49.05" customHeight="1" x14ac:dyDescent="0.45">
      <c r="A31" s="5"/>
      <c r="B31" s="36" t="s">
        <v>251</v>
      </c>
      <c r="C31" s="37"/>
      <c r="D31" s="38" t="s">
        <v>252</v>
      </c>
      <c r="E31" s="5"/>
    </row>
    <row r="32" spans="1:5" ht="49.05" customHeight="1" x14ac:dyDescent="0.45">
      <c r="A32" s="5"/>
      <c r="B32" s="36" t="s">
        <v>253</v>
      </c>
      <c r="C32" s="37"/>
      <c r="D32" s="38" t="s">
        <v>254</v>
      </c>
      <c r="E32" s="5"/>
    </row>
    <row r="33" spans="1:5" ht="49.05" customHeight="1" x14ac:dyDescent="0.45">
      <c r="A33" s="5"/>
      <c r="B33" s="36" t="s">
        <v>255</v>
      </c>
      <c r="C33" s="37"/>
      <c r="D33" s="38" t="s">
        <v>256</v>
      </c>
      <c r="E33" s="5"/>
    </row>
    <row r="34" spans="1:5" ht="64.05" customHeight="1" x14ac:dyDescent="0.45">
      <c r="A34" s="5"/>
      <c r="B34" s="36" t="s">
        <v>257</v>
      </c>
      <c r="C34" s="37"/>
      <c r="D34" s="38" t="s">
        <v>258</v>
      </c>
      <c r="E34" s="5"/>
    </row>
    <row r="35" spans="1:5" ht="6" customHeight="1" x14ac:dyDescent="0.45">
      <c r="A35" s="1"/>
      <c r="B35" s="1"/>
      <c r="C35" s="1"/>
      <c r="D35" s="1"/>
      <c r="E35" s="1"/>
    </row>
    <row r="36" spans="1:5" ht="19.05" customHeight="1" x14ac:dyDescent="0.45">
      <c r="A36" s="3"/>
      <c r="B36" s="137" t="s">
        <v>259</v>
      </c>
      <c r="C36" s="127"/>
      <c r="D36" s="127"/>
      <c r="E36" s="3"/>
    </row>
    <row r="37" spans="1:5" ht="19.05" customHeight="1" x14ac:dyDescent="0.45">
      <c r="A37" s="3"/>
      <c r="B37" s="32" t="s">
        <v>213</v>
      </c>
      <c r="C37" s="32" t="s">
        <v>214</v>
      </c>
      <c r="D37" s="32" t="s">
        <v>215</v>
      </c>
      <c r="E37" s="3"/>
    </row>
    <row r="38" spans="1:5" ht="64.05" customHeight="1" x14ac:dyDescent="0.45">
      <c r="A38" s="5"/>
      <c r="B38" s="36" t="s">
        <v>260</v>
      </c>
      <c r="C38" s="37"/>
      <c r="D38" s="38" t="s">
        <v>261</v>
      </c>
      <c r="E38" s="5"/>
    </row>
    <row r="39" spans="1:5" ht="49.05" customHeight="1" x14ac:dyDescent="0.45">
      <c r="A39" s="5"/>
      <c r="B39" s="36" t="s">
        <v>262</v>
      </c>
      <c r="C39" s="37"/>
      <c r="D39" s="38" t="s">
        <v>263</v>
      </c>
      <c r="E39" s="5"/>
    </row>
    <row r="40" spans="1:5" ht="64.05" customHeight="1" x14ac:dyDescent="0.45">
      <c r="A40" s="5"/>
      <c r="B40" s="36" t="s">
        <v>264</v>
      </c>
      <c r="C40" s="37"/>
      <c r="D40" s="38" t="s">
        <v>265</v>
      </c>
      <c r="E40" s="5"/>
    </row>
    <row r="41" spans="1:5" ht="64.05" customHeight="1" x14ac:dyDescent="0.45">
      <c r="A41" s="5"/>
      <c r="B41" s="36" t="s">
        <v>266</v>
      </c>
      <c r="C41" s="37"/>
      <c r="D41" s="38" t="s">
        <v>267</v>
      </c>
      <c r="E41" s="5"/>
    </row>
    <row r="42" spans="1:5" ht="79.05" customHeight="1" x14ac:dyDescent="0.45">
      <c r="A42" s="5"/>
      <c r="B42" s="36" t="s">
        <v>268</v>
      </c>
      <c r="C42" s="37"/>
      <c r="D42" s="38" t="s">
        <v>269</v>
      </c>
      <c r="E42" s="5"/>
    </row>
    <row r="43" spans="1:5" ht="64.05" customHeight="1" x14ac:dyDescent="0.45">
      <c r="A43" s="5"/>
      <c r="B43" s="36" t="s">
        <v>270</v>
      </c>
      <c r="C43" s="37"/>
      <c r="D43" s="38" t="s">
        <v>271</v>
      </c>
      <c r="E43" s="5"/>
    </row>
    <row r="44" spans="1:5" ht="6" customHeight="1" x14ac:dyDescent="0.45">
      <c r="A44" s="1"/>
      <c r="B44" s="1"/>
      <c r="C44" s="1"/>
      <c r="D44" s="1"/>
      <c r="E44" s="1"/>
    </row>
    <row r="45" spans="1:5" ht="19.05" customHeight="1" x14ac:dyDescent="0.45">
      <c r="A45" s="3"/>
      <c r="B45" s="137" t="s">
        <v>272</v>
      </c>
      <c r="C45" s="127"/>
      <c r="D45" s="127"/>
      <c r="E45" s="3"/>
    </row>
    <row r="46" spans="1:5" ht="19.05" customHeight="1" x14ac:dyDescent="0.45">
      <c r="A46" s="3"/>
      <c r="B46" s="32" t="s">
        <v>213</v>
      </c>
      <c r="C46" s="32" t="s">
        <v>214</v>
      </c>
      <c r="D46" s="32" t="s">
        <v>215</v>
      </c>
      <c r="E46" s="3"/>
    </row>
    <row r="47" spans="1:5" ht="34.049999999999997" customHeight="1" x14ac:dyDescent="0.45">
      <c r="A47" s="8"/>
      <c r="B47" s="138" t="s">
        <v>273</v>
      </c>
      <c r="C47" s="127"/>
      <c r="D47" s="127"/>
      <c r="E47" s="8"/>
    </row>
    <row r="48" spans="1:5" ht="34.049999999999997" customHeight="1" x14ac:dyDescent="0.45">
      <c r="A48" s="8"/>
      <c r="B48" s="39" t="s">
        <v>274</v>
      </c>
      <c r="C48" s="37"/>
      <c r="D48" s="38" t="s">
        <v>275</v>
      </c>
      <c r="E48" s="8"/>
    </row>
    <row r="49" spans="1:5" ht="34.049999999999997" customHeight="1" x14ac:dyDescent="0.45">
      <c r="A49" s="5"/>
      <c r="B49" s="36" t="s">
        <v>276</v>
      </c>
      <c r="C49" s="37"/>
      <c r="D49" s="38" t="s">
        <v>277</v>
      </c>
      <c r="E49" s="5"/>
    </row>
    <row r="50" spans="1:5" ht="49.05" customHeight="1" x14ac:dyDescent="0.45">
      <c r="A50" s="8"/>
      <c r="B50" s="39" t="s">
        <v>278</v>
      </c>
      <c r="C50" s="37"/>
      <c r="D50" s="38" t="s">
        <v>279</v>
      </c>
      <c r="E50" s="8"/>
    </row>
    <row r="51" spans="1:5" ht="49.05" customHeight="1" x14ac:dyDescent="0.45">
      <c r="A51" s="5"/>
      <c r="B51" s="36" t="s">
        <v>280</v>
      </c>
      <c r="C51" s="37"/>
      <c r="D51" s="38" t="s">
        <v>281</v>
      </c>
      <c r="E51" s="5"/>
    </row>
    <row r="52" spans="1:5" ht="49.05" customHeight="1" x14ac:dyDescent="0.45">
      <c r="A52" s="8"/>
      <c r="B52" s="39" t="s">
        <v>282</v>
      </c>
      <c r="C52" s="37"/>
      <c r="D52" s="38" t="s">
        <v>283</v>
      </c>
      <c r="E52" s="8"/>
    </row>
    <row r="53" spans="1:5" ht="49.05" customHeight="1" x14ac:dyDescent="0.45">
      <c r="A53" s="5"/>
      <c r="B53" s="36" t="s">
        <v>284</v>
      </c>
      <c r="C53" s="37"/>
      <c r="D53" s="38" t="s">
        <v>285</v>
      </c>
      <c r="E53" s="5"/>
    </row>
    <row r="54" spans="1:5" ht="49.05" customHeight="1" x14ac:dyDescent="0.45">
      <c r="A54" s="8"/>
      <c r="B54" s="39" t="s">
        <v>286</v>
      </c>
      <c r="C54" s="37"/>
      <c r="D54" s="38" t="s">
        <v>287</v>
      </c>
      <c r="E54" s="8"/>
    </row>
    <row r="55" spans="1:5" ht="49.05" customHeight="1" x14ac:dyDescent="0.45">
      <c r="A55" s="5"/>
      <c r="B55" s="36" t="s">
        <v>288</v>
      </c>
      <c r="C55" s="37"/>
      <c r="D55" s="38" t="s">
        <v>289</v>
      </c>
      <c r="E55" s="5"/>
    </row>
    <row r="56" spans="1:5" ht="34.049999999999997" customHeight="1" x14ac:dyDescent="0.45">
      <c r="A56" s="8"/>
      <c r="B56" s="39" t="s">
        <v>290</v>
      </c>
      <c r="C56" s="37"/>
      <c r="D56" s="38" t="s">
        <v>291</v>
      </c>
      <c r="E56" s="8"/>
    </row>
    <row r="57" spans="1:5" ht="6" customHeight="1" x14ac:dyDescent="0.45">
      <c r="A57" s="1"/>
      <c r="B57" s="1"/>
      <c r="C57" s="1"/>
      <c r="D57" s="1"/>
      <c r="E57" s="1"/>
    </row>
    <row r="58" spans="1:5" ht="19.05" customHeight="1" x14ac:dyDescent="0.45">
      <c r="A58" s="3"/>
      <c r="B58" s="137" t="s">
        <v>292</v>
      </c>
      <c r="C58" s="127"/>
      <c r="D58" s="127"/>
      <c r="E58" s="3"/>
    </row>
    <row r="59" spans="1:5" ht="19.05" customHeight="1" x14ac:dyDescent="0.45">
      <c r="A59" s="3"/>
      <c r="B59" s="32" t="s">
        <v>213</v>
      </c>
      <c r="C59" s="32" t="s">
        <v>214</v>
      </c>
      <c r="D59" s="32" t="s">
        <v>215</v>
      </c>
      <c r="E59" s="3"/>
    </row>
    <row r="60" spans="1:5" ht="64.05" customHeight="1" x14ac:dyDescent="0.45">
      <c r="A60" s="5"/>
      <c r="B60" s="36" t="s">
        <v>293</v>
      </c>
      <c r="C60" s="37"/>
      <c r="D60" s="38" t="s">
        <v>294</v>
      </c>
      <c r="E60" s="5"/>
    </row>
    <row r="61" spans="1:5" ht="34.049999999999997" customHeight="1" x14ac:dyDescent="0.45">
      <c r="A61" s="5"/>
      <c r="B61" s="36" t="s">
        <v>295</v>
      </c>
      <c r="C61" s="37"/>
      <c r="D61" s="38" t="s">
        <v>296</v>
      </c>
      <c r="E61" s="5"/>
    </row>
    <row r="62" spans="1:5" ht="79.05" customHeight="1" x14ac:dyDescent="0.45">
      <c r="A62" s="5"/>
      <c r="B62" s="36" t="s">
        <v>297</v>
      </c>
      <c r="C62" s="37"/>
      <c r="D62" s="38" t="s">
        <v>298</v>
      </c>
      <c r="E62" s="5"/>
    </row>
    <row r="63" spans="1:5" ht="64.05" customHeight="1" x14ac:dyDescent="0.45">
      <c r="A63" s="5"/>
      <c r="B63" s="36" t="s">
        <v>299</v>
      </c>
      <c r="C63" s="37"/>
      <c r="D63" s="38" t="s">
        <v>300</v>
      </c>
      <c r="E63" s="5"/>
    </row>
    <row r="64" spans="1:5" ht="64.05" customHeight="1" x14ac:dyDescent="0.45">
      <c r="A64" s="5"/>
      <c r="B64" s="36" t="s">
        <v>301</v>
      </c>
      <c r="C64" s="37"/>
      <c r="D64" s="38" t="s">
        <v>302</v>
      </c>
      <c r="E64" s="5"/>
    </row>
    <row r="65" spans="1:5" ht="49.05" customHeight="1" x14ac:dyDescent="0.45">
      <c r="A65" s="5"/>
      <c r="B65" s="36" t="s">
        <v>303</v>
      </c>
      <c r="C65" s="37"/>
      <c r="D65" s="38" t="s">
        <v>304</v>
      </c>
      <c r="E65" s="5"/>
    </row>
    <row r="66" spans="1:5" ht="6" customHeight="1" x14ac:dyDescent="0.45">
      <c r="A66" s="1"/>
      <c r="B66" s="1"/>
      <c r="C66" s="1"/>
      <c r="D66" s="1"/>
      <c r="E66" s="1"/>
    </row>
    <row r="67" spans="1:5" ht="19.05" customHeight="1" x14ac:dyDescent="0.45">
      <c r="A67" s="3"/>
      <c r="B67" s="137" t="s">
        <v>305</v>
      </c>
      <c r="C67" s="127"/>
      <c r="D67" s="127"/>
      <c r="E67" s="3"/>
    </row>
    <row r="68" spans="1:5" ht="19.05" customHeight="1" x14ac:dyDescent="0.45">
      <c r="A68" s="3"/>
      <c r="B68" s="32" t="s">
        <v>213</v>
      </c>
      <c r="C68" s="32" t="s">
        <v>214</v>
      </c>
      <c r="D68" s="32" t="s">
        <v>215</v>
      </c>
      <c r="E68" s="3"/>
    </row>
    <row r="69" spans="1:5" ht="49.05" customHeight="1" x14ac:dyDescent="0.45">
      <c r="A69" s="5"/>
      <c r="B69" s="36" t="s">
        <v>306</v>
      </c>
      <c r="C69" s="37"/>
      <c r="D69" s="38" t="s">
        <v>307</v>
      </c>
      <c r="E69" s="5"/>
    </row>
    <row r="70" spans="1:5" ht="49.05" customHeight="1" x14ac:dyDescent="0.45">
      <c r="A70" s="5"/>
      <c r="B70" s="36" t="s">
        <v>308</v>
      </c>
      <c r="C70" s="37"/>
      <c r="D70" s="38" t="s">
        <v>309</v>
      </c>
      <c r="E70" s="5"/>
    </row>
    <row r="71" spans="1:5" ht="34.049999999999997" customHeight="1" x14ac:dyDescent="0.45">
      <c r="A71" s="5"/>
      <c r="B71" s="36" t="s">
        <v>310</v>
      </c>
      <c r="C71" s="37"/>
      <c r="D71" s="38" t="s">
        <v>311</v>
      </c>
      <c r="E71" s="5"/>
    </row>
    <row r="72" spans="1:5" ht="64.05" customHeight="1" x14ac:dyDescent="0.45">
      <c r="A72" s="5"/>
      <c r="B72" s="36" t="s">
        <v>312</v>
      </c>
      <c r="C72" s="37"/>
      <c r="D72" s="38" t="s">
        <v>313</v>
      </c>
      <c r="E72" s="5"/>
    </row>
    <row r="73" spans="1:5" ht="34.049999999999997" customHeight="1" x14ac:dyDescent="0.45">
      <c r="A73" s="5"/>
      <c r="B73" s="36" t="s">
        <v>314</v>
      </c>
      <c r="C73" s="37"/>
      <c r="D73" s="38" t="s">
        <v>315</v>
      </c>
      <c r="E73" s="5"/>
    </row>
    <row r="74" spans="1:5" ht="8" customHeight="1" x14ac:dyDescent="0.45">
      <c r="A74" s="1"/>
      <c r="B74" s="1"/>
      <c r="C74" s="1"/>
      <c r="D74" s="1"/>
      <c r="E74" s="1"/>
    </row>
    <row r="75" spans="1:5" ht="34.049999999999997" customHeight="1" x14ac:dyDescent="0.45">
      <c r="A75" s="3"/>
      <c r="B75" s="129" t="s">
        <v>22</v>
      </c>
      <c r="C75" s="127"/>
      <c r="D75" s="127"/>
      <c r="E75" s="3"/>
    </row>
  </sheetData>
  <mergeCells count="12">
    <mergeCell ref="B75:D75"/>
    <mergeCell ref="B6:D6"/>
    <mergeCell ref="B47:D47"/>
    <mergeCell ref="B2:D2"/>
    <mergeCell ref="B28:D28"/>
    <mergeCell ref="B3:D3"/>
    <mergeCell ref="B36:D36"/>
    <mergeCell ref="B67:D67"/>
    <mergeCell ref="B45:D45"/>
    <mergeCell ref="B4:D4"/>
    <mergeCell ref="B17:D17"/>
    <mergeCell ref="B58:D5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EA72A"/>
  </sheetPr>
  <dimension ref="A1:AA39"/>
  <sheetViews>
    <sheetView showGridLines="0" zoomScale="80" workbookViewId="0">
      <pane xSplit="5" ySplit="1" topLeftCell="F2" activePane="bottomRight" state="frozen"/>
      <selection pane="topRight"/>
      <selection pane="bottomLeft"/>
      <selection pane="bottomRight"/>
    </sheetView>
  </sheetViews>
  <sheetFormatPr defaultRowHeight="14.25" x14ac:dyDescent="0.45"/>
  <cols>
    <col min="1" max="1" width="18" customWidth="1"/>
    <col min="2" max="2" width="30" customWidth="1"/>
    <col min="3" max="3" width="16" customWidth="1"/>
    <col min="4" max="4" width="42" customWidth="1"/>
    <col min="5" max="5" width="14" customWidth="1"/>
    <col min="6" max="6" width="18" customWidth="1"/>
    <col min="7" max="7" width="26" customWidth="1"/>
    <col min="8" max="8" width="42" customWidth="1"/>
    <col min="9" max="9" width="38" customWidth="1"/>
    <col min="10" max="10" width="32" customWidth="1"/>
    <col min="11" max="11" width="20" customWidth="1"/>
    <col min="12" max="12" width="12" customWidth="1"/>
    <col min="13" max="13" width="16" customWidth="1"/>
    <col min="14" max="14" width="15" customWidth="1"/>
    <col min="15" max="15" width="18" customWidth="1"/>
    <col min="16" max="16" width="38" customWidth="1"/>
    <col min="17" max="17" width="32" customWidth="1"/>
    <col min="18" max="18" width="26" customWidth="1"/>
    <col min="19" max="19" width="22" customWidth="1"/>
    <col min="20" max="20" width="32" customWidth="1"/>
    <col min="21" max="21" width="16" customWidth="1"/>
    <col min="22" max="22" width="20" customWidth="1"/>
    <col min="23" max="27" width="13" customWidth="1"/>
  </cols>
  <sheetData>
    <row r="1" spans="1:27" ht="49.05" customHeight="1" x14ac:dyDescent="0.45">
      <c r="A1" s="40" t="s">
        <v>116</v>
      </c>
      <c r="B1" s="40" t="s">
        <v>119</v>
      </c>
      <c r="C1" s="40" t="s">
        <v>122</v>
      </c>
      <c r="D1" s="40" t="s">
        <v>125</v>
      </c>
      <c r="E1" s="40" t="s">
        <v>128</v>
      </c>
      <c r="F1" s="40" t="s">
        <v>131</v>
      </c>
      <c r="G1" s="40" t="s">
        <v>134</v>
      </c>
      <c r="H1" s="40" t="s">
        <v>137</v>
      </c>
      <c r="I1" s="40" t="s">
        <v>140</v>
      </c>
      <c r="J1" s="40" t="s">
        <v>143</v>
      </c>
      <c r="K1" s="40" t="s">
        <v>146</v>
      </c>
      <c r="L1" s="40" t="s">
        <v>149</v>
      </c>
      <c r="M1" s="40" t="s">
        <v>316</v>
      </c>
      <c r="N1" s="40" t="s">
        <v>155</v>
      </c>
      <c r="O1" s="40" t="s">
        <v>158</v>
      </c>
      <c r="P1" s="40" t="s">
        <v>161</v>
      </c>
      <c r="Q1" s="40" t="s">
        <v>164</v>
      </c>
      <c r="R1" s="40" t="s">
        <v>167</v>
      </c>
      <c r="S1" s="40" t="s">
        <v>170</v>
      </c>
      <c r="T1" s="40" t="s">
        <v>173</v>
      </c>
      <c r="U1" s="40" t="s">
        <v>176</v>
      </c>
      <c r="V1" s="40" t="s">
        <v>179</v>
      </c>
      <c r="AA1" s="2" t="s">
        <v>0</v>
      </c>
    </row>
    <row r="2" spans="1:27" ht="79.05" customHeight="1" x14ac:dyDescent="0.45">
      <c r="A2" s="41" t="s">
        <v>317</v>
      </c>
      <c r="B2" s="42" t="s">
        <v>318</v>
      </c>
      <c r="C2" s="42" t="s">
        <v>319</v>
      </c>
      <c r="D2" s="42" t="s">
        <v>320</v>
      </c>
      <c r="E2" s="42" t="s">
        <v>321</v>
      </c>
      <c r="F2" s="43" t="s">
        <v>322</v>
      </c>
      <c r="G2" s="42" t="s">
        <v>323</v>
      </c>
      <c r="H2" s="42" t="s">
        <v>324</v>
      </c>
      <c r="I2" s="42" t="s">
        <v>325</v>
      </c>
      <c r="J2" s="42" t="s">
        <v>326</v>
      </c>
      <c r="K2" s="44"/>
      <c r="L2" s="45">
        <v>2</v>
      </c>
      <c r="M2" s="46" t="str">
        <f t="shared" ref="M2:M39" si="0">IF(K2="","",IF(K2="Implemented",1,IF(K2="Partial",0.5,0)))</f>
        <v/>
      </c>
      <c r="N2" s="45">
        <v>1</v>
      </c>
      <c r="O2" s="47" t="str">
        <f t="shared" ref="O2:O39" si="1">IF(K2="","Not Assessed",IF(M2&gt;=N2,"PASS",IF(M2&gt;0,"PARTIAL","FAIL")))</f>
        <v>Not Assessed</v>
      </c>
      <c r="P2" s="44"/>
      <c r="Q2" s="42" t="s">
        <v>327</v>
      </c>
      <c r="R2" s="42" t="s">
        <v>328</v>
      </c>
      <c r="S2" s="44"/>
      <c r="T2" s="44"/>
      <c r="U2" s="44"/>
      <c r="V2" s="44"/>
    </row>
    <row r="3" spans="1:27" ht="79.05" customHeight="1" x14ac:dyDescent="0.45">
      <c r="A3" s="41" t="s">
        <v>317</v>
      </c>
      <c r="B3" s="48" t="s">
        <v>318</v>
      </c>
      <c r="C3" s="48" t="s">
        <v>329</v>
      </c>
      <c r="D3" s="48" t="s">
        <v>330</v>
      </c>
      <c r="E3" s="48" t="s">
        <v>321</v>
      </c>
      <c r="F3" s="49" t="s">
        <v>331</v>
      </c>
      <c r="G3" s="48" t="s">
        <v>332</v>
      </c>
      <c r="H3" s="48" t="s">
        <v>333</v>
      </c>
      <c r="I3" s="48" t="s">
        <v>334</v>
      </c>
      <c r="J3" s="48" t="s">
        <v>335</v>
      </c>
      <c r="K3" s="44"/>
      <c r="L3" s="50">
        <v>2</v>
      </c>
      <c r="M3" s="46" t="str">
        <f t="shared" si="0"/>
        <v/>
      </c>
      <c r="N3" s="50">
        <v>1</v>
      </c>
      <c r="O3" s="47" t="str">
        <f t="shared" si="1"/>
        <v>Not Assessed</v>
      </c>
      <c r="P3" s="44"/>
      <c r="Q3" s="48" t="s">
        <v>336</v>
      </c>
      <c r="R3" s="48" t="s">
        <v>337</v>
      </c>
      <c r="S3" s="44"/>
      <c r="T3" s="44"/>
      <c r="U3" s="44"/>
      <c r="V3" s="44"/>
    </row>
    <row r="4" spans="1:27" ht="94.05" customHeight="1" x14ac:dyDescent="0.45">
      <c r="A4" s="41" t="s">
        <v>317</v>
      </c>
      <c r="B4" s="42" t="s">
        <v>338</v>
      </c>
      <c r="C4" s="42" t="s">
        <v>339</v>
      </c>
      <c r="D4" s="42" t="s">
        <v>340</v>
      </c>
      <c r="E4" s="42" t="s">
        <v>341</v>
      </c>
      <c r="F4" s="43" t="s">
        <v>342</v>
      </c>
      <c r="G4" s="42" t="s">
        <v>343</v>
      </c>
      <c r="H4" s="42" t="s">
        <v>344</v>
      </c>
      <c r="I4" s="42" t="s">
        <v>345</v>
      </c>
      <c r="J4" s="42" t="s">
        <v>346</v>
      </c>
      <c r="K4" s="44"/>
      <c r="L4" s="45">
        <v>2</v>
      </c>
      <c r="M4" s="46" t="str">
        <f t="shared" si="0"/>
        <v/>
      </c>
      <c r="N4" s="45">
        <v>1</v>
      </c>
      <c r="O4" s="47" t="str">
        <f t="shared" si="1"/>
        <v>Not Assessed</v>
      </c>
      <c r="P4" s="44"/>
      <c r="Q4" s="42" t="s">
        <v>347</v>
      </c>
      <c r="R4" s="42" t="s">
        <v>328</v>
      </c>
      <c r="S4" s="44"/>
      <c r="T4" s="44"/>
      <c r="U4" s="44"/>
      <c r="V4" s="44"/>
    </row>
    <row r="5" spans="1:27" ht="94.05" customHeight="1" x14ac:dyDescent="0.45">
      <c r="A5" s="41" t="s">
        <v>317</v>
      </c>
      <c r="B5" s="48" t="s">
        <v>318</v>
      </c>
      <c r="C5" s="48" t="s">
        <v>348</v>
      </c>
      <c r="D5" s="48" t="s">
        <v>349</v>
      </c>
      <c r="E5" s="48" t="s">
        <v>321</v>
      </c>
      <c r="F5" s="49" t="s">
        <v>350</v>
      </c>
      <c r="G5" s="48" t="s">
        <v>351</v>
      </c>
      <c r="H5" s="48" t="s">
        <v>352</v>
      </c>
      <c r="I5" s="48" t="s">
        <v>353</v>
      </c>
      <c r="J5" s="48" t="s">
        <v>354</v>
      </c>
      <c r="K5" s="44"/>
      <c r="L5" s="50">
        <v>2</v>
      </c>
      <c r="M5" s="46" t="str">
        <f t="shared" si="0"/>
        <v/>
      </c>
      <c r="N5" s="50">
        <v>1</v>
      </c>
      <c r="O5" s="47" t="str">
        <f t="shared" si="1"/>
        <v>Not Assessed</v>
      </c>
      <c r="P5" s="44"/>
      <c r="Q5" s="48" t="s">
        <v>355</v>
      </c>
      <c r="R5" s="48" t="s">
        <v>328</v>
      </c>
      <c r="S5" s="44"/>
      <c r="T5" s="44"/>
      <c r="U5" s="44"/>
      <c r="V5" s="44"/>
    </row>
    <row r="6" spans="1:27" ht="94.05" customHeight="1" x14ac:dyDescent="0.45">
      <c r="A6" s="41" t="s">
        <v>317</v>
      </c>
      <c r="B6" s="42" t="s">
        <v>356</v>
      </c>
      <c r="C6" s="42" t="s">
        <v>357</v>
      </c>
      <c r="D6" s="42" t="s">
        <v>358</v>
      </c>
      <c r="E6" s="42" t="s">
        <v>341</v>
      </c>
      <c r="F6" s="43" t="s">
        <v>359</v>
      </c>
      <c r="G6" s="42" t="s">
        <v>360</v>
      </c>
      <c r="H6" s="42" t="s">
        <v>361</v>
      </c>
      <c r="I6" s="42" t="s">
        <v>362</v>
      </c>
      <c r="J6" s="42" t="s">
        <v>363</v>
      </c>
      <c r="K6" s="44"/>
      <c r="L6" s="45">
        <v>2</v>
      </c>
      <c r="M6" s="46" t="str">
        <f t="shared" si="0"/>
        <v/>
      </c>
      <c r="N6" s="45">
        <v>1</v>
      </c>
      <c r="O6" s="47" t="str">
        <f t="shared" si="1"/>
        <v>Not Assessed</v>
      </c>
      <c r="P6" s="44"/>
      <c r="Q6" s="42" t="s">
        <v>364</v>
      </c>
      <c r="R6" s="42" t="s">
        <v>328</v>
      </c>
      <c r="S6" s="44"/>
      <c r="T6" s="44"/>
      <c r="U6" s="44"/>
      <c r="V6" s="44"/>
    </row>
    <row r="7" spans="1:27" ht="94.05" customHeight="1" x14ac:dyDescent="0.45">
      <c r="A7" s="41" t="s">
        <v>317</v>
      </c>
      <c r="B7" s="48" t="s">
        <v>365</v>
      </c>
      <c r="C7" s="48" t="s">
        <v>366</v>
      </c>
      <c r="D7" s="48" t="s">
        <v>367</v>
      </c>
      <c r="E7" s="48" t="s">
        <v>341</v>
      </c>
      <c r="F7" s="49" t="s">
        <v>368</v>
      </c>
      <c r="G7" s="48" t="s">
        <v>369</v>
      </c>
      <c r="H7" s="48" t="s">
        <v>370</v>
      </c>
      <c r="I7" s="48" t="s">
        <v>371</v>
      </c>
      <c r="J7" s="48" t="s">
        <v>372</v>
      </c>
      <c r="K7" s="44"/>
      <c r="L7" s="50">
        <v>2</v>
      </c>
      <c r="M7" s="46" t="str">
        <f t="shared" si="0"/>
        <v/>
      </c>
      <c r="N7" s="50">
        <v>1</v>
      </c>
      <c r="O7" s="47" t="str">
        <f t="shared" si="1"/>
        <v>Not Assessed</v>
      </c>
      <c r="P7" s="44"/>
      <c r="Q7" s="48" t="s">
        <v>373</v>
      </c>
      <c r="R7" s="48" t="s">
        <v>374</v>
      </c>
      <c r="S7" s="44"/>
      <c r="T7" s="44"/>
      <c r="U7" s="44"/>
      <c r="V7" s="44"/>
    </row>
    <row r="8" spans="1:27" ht="79.05" customHeight="1" x14ac:dyDescent="0.45">
      <c r="A8" s="41" t="s">
        <v>317</v>
      </c>
      <c r="B8" s="42" t="s">
        <v>356</v>
      </c>
      <c r="C8" s="42" t="s">
        <v>375</v>
      </c>
      <c r="D8" s="42" t="s">
        <v>376</v>
      </c>
      <c r="E8" s="42" t="s">
        <v>341</v>
      </c>
      <c r="F8" s="43" t="s">
        <v>377</v>
      </c>
      <c r="G8" s="42" t="s">
        <v>378</v>
      </c>
      <c r="H8" s="42" t="s">
        <v>379</v>
      </c>
      <c r="I8" s="42" t="s">
        <v>380</v>
      </c>
      <c r="J8" s="42" t="s">
        <v>381</v>
      </c>
      <c r="K8" s="44"/>
      <c r="L8" s="45">
        <v>2</v>
      </c>
      <c r="M8" s="46" t="str">
        <f t="shared" si="0"/>
        <v/>
      </c>
      <c r="N8" s="45">
        <v>1</v>
      </c>
      <c r="O8" s="47" t="str">
        <f t="shared" si="1"/>
        <v>Not Assessed</v>
      </c>
      <c r="P8" s="44"/>
      <c r="Q8" s="42" t="s">
        <v>382</v>
      </c>
      <c r="R8" s="42" t="s">
        <v>383</v>
      </c>
      <c r="S8" s="44"/>
      <c r="T8" s="44"/>
      <c r="U8" s="44"/>
      <c r="V8" s="44"/>
    </row>
    <row r="9" spans="1:27" ht="94.05" customHeight="1" x14ac:dyDescent="0.45">
      <c r="A9" s="41" t="s">
        <v>317</v>
      </c>
      <c r="B9" s="48" t="s">
        <v>338</v>
      </c>
      <c r="C9" s="48" t="s">
        <v>384</v>
      </c>
      <c r="D9" s="48" t="s">
        <v>385</v>
      </c>
      <c r="E9" s="48" t="s">
        <v>341</v>
      </c>
      <c r="F9" s="49" t="s">
        <v>386</v>
      </c>
      <c r="G9" s="48" t="s">
        <v>387</v>
      </c>
      <c r="H9" s="48" t="s">
        <v>388</v>
      </c>
      <c r="I9" s="48" t="s">
        <v>389</v>
      </c>
      <c r="J9" s="48" t="s">
        <v>390</v>
      </c>
      <c r="K9" s="44"/>
      <c r="L9" s="50">
        <v>2</v>
      </c>
      <c r="M9" s="46" t="str">
        <f t="shared" si="0"/>
        <v/>
      </c>
      <c r="N9" s="50">
        <v>1</v>
      </c>
      <c r="O9" s="47" t="str">
        <f t="shared" si="1"/>
        <v>Not Assessed</v>
      </c>
      <c r="P9" s="44"/>
      <c r="Q9" s="48" t="s">
        <v>391</v>
      </c>
      <c r="R9" s="48" t="s">
        <v>328</v>
      </c>
      <c r="S9" s="44"/>
      <c r="T9" s="44"/>
      <c r="U9" s="44"/>
      <c r="V9" s="44"/>
    </row>
    <row r="10" spans="1:27" ht="79.05" customHeight="1" x14ac:dyDescent="0.45">
      <c r="A10" s="41" t="s">
        <v>317</v>
      </c>
      <c r="B10" s="42" t="s">
        <v>392</v>
      </c>
      <c r="C10" s="42" t="s">
        <v>393</v>
      </c>
      <c r="D10" s="42" t="s">
        <v>394</v>
      </c>
      <c r="E10" s="42" t="s">
        <v>341</v>
      </c>
      <c r="F10" s="43" t="s">
        <v>395</v>
      </c>
      <c r="G10" s="42" t="s">
        <v>396</v>
      </c>
      <c r="H10" s="42" t="s">
        <v>397</v>
      </c>
      <c r="I10" s="42" t="s">
        <v>398</v>
      </c>
      <c r="J10" s="42" t="s">
        <v>399</v>
      </c>
      <c r="K10" s="44"/>
      <c r="L10" s="45">
        <v>2</v>
      </c>
      <c r="M10" s="46" t="str">
        <f t="shared" si="0"/>
        <v/>
      </c>
      <c r="N10" s="45">
        <v>1</v>
      </c>
      <c r="O10" s="47" t="str">
        <f t="shared" si="1"/>
        <v>Not Assessed</v>
      </c>
      <c r="P10" s="44"/>
      <c r="Q10" s="42" t="s">
        <v>400</v>
      </c>
      <c r="R10" s="42" t="s">
        <v>328</v>
      </c>
      <c r="S10" s="44"/>
      <c r="T10" s="44"/>
      <c r="U10" s="44"/>
      <c r="V10" s="44"/>
    </row>
    <row r="11" spans="1:27" ht="79.05" customHeight="1" x14ac:dyDescent="0.45">
      <c r="A11" s="51" t="s">
        <v>401</v>
      </c>
      <c r="B11" s="48" t="s">
        <v>402</v>
      </c>
      <c r="C11" s="48" t="s">
        <v>403</v>
      </c>
      <c r="D11" s="48" t="s">
        <v>404</v>
      </c>
      <c r="E11" s="48" t="s">
        <v>321</v>
      </c>
      <c r="F11" s="49" t="s">
        <v>405</v>
      </c>
      <c r="G11" s="48" t="s">
        <v>406</v>
      </c>
      <c r="H11" s="48" t="s">
        <v>407</v>
      </c>
      <c r="I11" s="48" t="s">
        <v>408</v>
      </c>
      <c r="J11" s="48" t="s">
        <v>409</v>
      </c>
      <c r="K11" s="44"/>
      <c r="L11" s="50">
        <v>2</v>
      </c>
      <c r="M11" s="46" t="str">
        <f t="shared" si="0"/>
        <v/>
      </c>
      <c r="N11" s="50">
        <v>1</v>
      </c>
      <c r="O11" s="47" t="str">
        <f t="shared" si="1"/>
        <v>Not Assessed</v>
      </c>
      <c r="P11" s="44"/>
      <c r="Q11" s="48" t="s">
        <v>410</v>
      </c>
      <c r="R11" s="48" t="s">
        <v>411</v>
      </c>
      <c r="S11" s="44"/>
      <c r="T11" s="44"/>
      <c r="U11" s="44"/>
      <c r="V11" s="44"/>
    </row>
    <row r="12" spans="1:27" ht="94.05" customHeight="1" x14ac:dyDescent="0.45">
      <c r="A12" s="51" t="s">
        <v>401</v>
      </c>
      <c r="B12" s="42" t="s">
        <v>412</v>
      </c>
      <c r="C12" s="42" t="s">
        <v>413</v>
      </c>
      <c r="D12" s="42" t="s">
        <v>414</v>
      </c>
      <c r="E12" s="42" t="s">
        <v>321</v>
      </c>
      <c r="F12" s="43" t="s">
        <v>415</v>
      </c>
      <c r="G12" s="42" t="s">
        <v>416</v>
      </c>
      <c r="H12" s="42" t="s">
        <v>417</v>
      </c>
      <c r="I12" s="42" t="s">
        <v>418</v>
      </c>
      <c r="J12" s="42" t="s">
        <v>419</v>
      </c>
      <c r="K12" s="44"/>
      <c r="L12" s="45">
        <v>2</v>
      </c>
      <c r="M12" s="46" t="str">
        <f t="shared" si="0"/>
        <v/>
      </c>
      <c r="N12" s="45">
        <v>1</v>
      </c>
      <c r="O12" s="47" t="str">
        <f t="shared" si="1"/>
        <v>Not Assessed</v>
      </c>
      <c r="P12" s="44"/>
      <c r="Q12" s="42" t="s">
        <v>420</v>
      </c>
      <c r="R12" s="42" t="s">
        <v>411</v>
      </c>
      <c r="S12" s="44"/>
      <c r="T12" s="44"/>
      <c r="U12" s="44"/>
      <c r="V12" s="44"/>
    </row>
    <row r="13" spans="1:27" ht="79.05" customHeight="1" x14ac:dyDescent="0.45">
      <c r="A13" s="51" t="s">
        <v>401</v>
      </c>
      <c r="B13" s="48" t="s">
        <v>421</v>
      </c>
      <c r="C13" s="48" t="s">
        <v>422</v>
      </c>
      <c r="D13" s="48" t="s">
        <v>423</v>
      </c>
      <c r="E13" s="48" t="s">
        <v>341</v>
      </c>
      <c r="F13" s="49" t="s">
        <v>424</v>
      </c>
      <c r="G13" s="48" t="s">
        <v>425</v>
      </c>
      <c r="H13" s="48" t="s">
        <v>426</v>
      </c>
      <c r="I13" s="48" t="s">
        <v>427</v>
      </c>
      <c r="J13" s="48" t="s">
        <v>428</v>
      </c>
      <c r="K13" s="44"/>
      <c r="L13" s="50">
        <v>2</v>
      </c>
      <c r="M13" s="46" t="str">
        <f t="shared" si="0"/>
        <v/>
      </c>
      <c r="N13" s="50">
        <v>1</v>
      </c>
      <c r="O13" s="47" t="str">
        <f t="shared" si="1"/>
        <v>Not Assessed</v>
      </c>
      <c r="P13" s="44"/>
      <c r="Q13" s="48" t="s">
        <v>429</v>
      </c>
      <c r="R13" s="48" t="s">
        <v>383</v>
      </c>
      <c r="S13" s="44"/>
      <c r="T13" s="44"/>
      <c r="U13" s="44"/>
      <c r="V13" s="44"/>
    </row>
    <row r="14" spans="1:27" ht="94.05" customHeight="1" x14ac:dyDescent="0.45">
      <c r="A14" s="51" t="s">
        <v>401</v>
      </c>
      <c r="B14" s="42" t="s">
        <v>402</v>
      </c>
      <c r="C14" s="42" t="s">
        <v>430</v>
      </c>
      <c r="D14" s="42" t="s">
        <v>431</v>
      </c>
      <c r="E14" s="42" t="s">
        <v>341</v>
      </c>
      <c r="F14" s="43" t="s">
        <v>432</v>
      </c>
      <c r="G14" s="42" t="s">
        <v>433</v>
      </c>
      <c r="H14" s="42" t="s">
        <v>434</v>
      </c>
      <c r="I14" s="42" t="s">
        <v>435</v>
      </c>
      <c r="J14" s="42" t="s">
        <v>436</v>
      </c>
      <c r="K14" s="44"/>
      <c r="L14" s="45">
        <v>2</v>
      </c>
      <c r="M14" s="46" t="str">
        <f t="shared" si="0"/>
        <v/>
      </c>
      <c r="N14" s="45">
        <v>1</v>
      </c>
      <c r="O14" s="47" t="str">
        <f t="shared" si="1"/>
        <v>Not Assessed</v>
      </c>
      <c r="P14" s="44"/>
      <c r="Q14" s="42" t="s">
        <v>437</v>
      </c>
      <c r="R14" s="42" t="s">
        <v>411</v>
      </c>
      <c r="S14" s="44"/>
      <c r="T14" s="44"/>
      <c r="U14" s="44"/>
      <c r="V14" s="44"/>
    </row>
    <row r="15" spans="1:27" ht="94.05" customHeight="1" x14ac:dyDescent="0.45">
      <c r="A15" s="51" t="s">
        <v>401</v>
      </c>
      <c r="B15" s="48" t="s">
        <v>412</v>
      </c>
      <c r="C15" s="48" t="s">
        <v>438</v>
      </c>
      <c r="D15" s="48" t="s">
        <v>439</v>
      </c>
      <c r="E15" s="48" t="s">
        <v>341</v>
      </c>
      <c r="F15" s="49" t="s">
        <v>440</v>
      </c>
      <c r="G15" s="48" t="s">
        <v>441</v>
      </c>
      <c r="H15" s="48" t="s">
        <v>442</v>
      </c>
      <c r="I15" s="48" t="s">
        <v>443</v>
      </c>
      <c r="J15" s="48" t="s">
        <v>444</v>
      </c>
      <c r="K15" s="44"/>
      <c r="L15" s="50">
        <v>2</v>
      </c>
      <c r="M15" s="46" t="str">
        <f t="shared" si="0"/>
        <v/>
      </c>
      <c r="N15" s="50">
        <v>1</v>
      </c>
      <c r="O15" s="47" t="str">
        <f t="shared" si="1"/>
        <v>Not Assessed</v>
      </c>
      <c r="P15" s="44"/>
      <c r="Q15" s="48" t="s">
        <v>445</v>
      </c>
      <c r="R15" s="48" t="s">
        <v>383</v>
      </c>
      <c r="S15" s="44"/>
      <c r="T15" s="44"/>
      <c r="U15" s="44"/>
      <c r="V15" s="44"/>
    </row>
    <row r="16" spans="1:27" ht="79.05" customHeight="1" x14ac:dyDescent="0.45">
      <c r="A16" s="51" t="s">
        <v>401</v>
      </c>
      <c r="B16" s="42" t="s">
        <v>421</v>
      </c>
      <c r="C16" s="42" t="s">
        <v>446</v>
      </c>
      <c r="D16" s="42" t="s">
        <v>447</v>
      </c>
      <c r="E16" s="42" t="s">
        <v>341</v>
      </c>
      <c r="F16" s="43" t="s">
        <v>448</v>
      </c>
      <c r="G16" s="42" t="s">
        <v>449</v>
      </c>
      <c r="H16" s="42" t="s">
        <v>450</v>
      </c>
      <c r="I16" s="42" t="s">
        <v>451</v>
      </c>
      <c r="J16" s="42" t="s">
        <v>452</v>
      </c>
      <c r="K16" s="44"/>
      <c r="L16" s="45">
        <v>2</v>
      </c>
      <c r="M16" s="46" t="str">
        <f t="shared" si="0"/>
        <v/>
      </c>
      <c r="N16" s="45">
        <v>1</v>
      </c>
      <c r="O16" s="47" t="str">
        <f t="shared" si="1"/>
        <v>Not Assessed</v>
      </c>
      <c r="P16" s="44"/>
      <c r="Q16" s="42" t="s">
        <v>453</v>
      </c>
      <c r="R16" s="42" t="s">
        <v>454</v>
      </c>
      <c r="S16" s="44"/>
      <c r="T16" s="44"/>
      <c r="U16" s="44"/>
      <c r="V16" s="44"/>
    </row>
    <row r="17" spans="1:22" ht="94.05" customHeight="1" x14ac:dyDescent="0.45">
      <c r="A17" s="52" t="s">
        <v>455</v>
      </c>
      <c r="B17" s="48" t="s">
        <v>456</v>
      </c>
      <c r="C17" s="48" t="s">
        <v>457</v>
      </c>
      <c r="D17" s="48" t="s">
        <v>458</v>
      </c>
      <c r="E17" s="48" t="s">
        <v>321</v>
      </c>
      <c r="F17" s="49" t="s">
        <v>459</v>
      </c>
      <c r="G17" s="48" t="s">
        <v>460</v>
      </c>
      <c r="H17" s="48" t="s">
        <v>461</v>
      </c>
      <c r="I17" s="48" t="s">
        <v>462</v>
      </c>
      <c r="J17" s="48" t="s">
        <v>463</v>
      </c>
      <c r="K17" s="44"/>
      <c r="L17" s="50">
        <v>2</v>
      </c>
      <c r="M17" s="46" t="str">
        <f t="shared" si="0"/>
        <v/>
      </c>
      <c r="N17" s="50">
        <v>1</v>
      </c>
      <c r="O17" s="47" t="str">
        <f t="shared" si="1"/>
        <v>Not Assessed</v>
      </c>
      <c r="P17" s="44"/>
      <c r="Q17" s="48" t="s">
        <v>464</v>
      </c>
      <c r="R17" s="48" t="s">
        <v>411</v>
      </c>
      <c r="S17" s="44"/>
      <c r="T17" s="44"/>
      <c r="U17" s="44"/>
      <c r="V17" s="44"/>
    </row>
    <row r="18" spans="1:22" ht="94.05" customHeight="1" x14ac:dyDescent="0.45">
      <c r="A18" s="52" t="s">
        <v>455</v>
      </c>
      <c r="B18" s="42" t="s">
        <v>465</v>
      </c>
      <c r="C18" s="42" t="s">
        <v>466</v>
      </c>
      <c r="D18" s="42" t="s">
        <v>467</v>
      </c>
      <c r="E18" s="42" t="s">
        <v>321</v>
      </c>
      <c r="F18" s="43" t="s">
        <v>468</v>
      </c>
      <c r="G18" s="42" t="s">
        <v>469</v>
      </c>
      <c r="H18" s="42" t="s">
        <v>470</v>
      </c>
      <c r="I18" s="42" t="s">
        <v>471</v>
      </c>
      <c r="J18" s="42" t="s">
        <v>472</v>
      </c>
      <c r="K18" s="44"/>
      <c r="L18" s="45">
        <v>2</v>
      </c>
      <c r="M18" s="46" t="str">
        <f t="shared" si="0"/>
        <v/>
      </c>
      <c r="N18" s="45">
        <v>1</v>
      </c>
      <c r="O18" s="47" t="str">
        <f t="shared" si="1"/>
        <v>Not Assessed</v>
      </c>
      <c r="P18" s="44"/>
      <c r="Q18" s="42" t="s">
        <v>473</v>
      </c>
      <c r="R18" s="42" t="s">
        <v>454</v>
      </c>
      <c r="S18" s="44"/>
      <c r="T18" s="44"/>
      <c r="U18" s="44"/>
      <c r="V18" s="44"/>
    </row>
    <row r="19" spans="1:22" ht="79.05" customHeight="1" x14ac:dyDescent="0.45">
      <c r="A19" s="52" t="s">
        <v>455</v>
      </c>
      <c r="B19" s="48" t="s">
        <v>456</v>
      </c>
      <c r="C19" s="48" t="s">
        <v>474</v>
      </c>
      <c r="D19" s="48" t="s">
        <v>475</v>
      </c>
      <c r="E19" s="48" t="s">
        <v>321</v>
      </c>
      <c r="F19" s="49" t="s">
        <v>476</v>
      </c>
      <c r="G19" s="48" t="s">
        <v>477</v>
      </c>
      <c r="H19" s="48" t="s">
        <v>478</v>
      </c>
      <c r="I19" s="48" t="s">
        <v>479</v>
      </c>
      <c r="J19" s="48" t="s">
        <v>480</v>
      </c>
      <c r="K19" s="44"/>
      <c r="L19" s="50">
        <v>2</v>
      </c>
      <c r="M19" s="46" t="str">
        <f t="shared" si="0"/>
        <v/>
      </c>
      <c r="N19" s="50">
        <v>1</v>
      </c>
      <c r="O19" s="47" t="str">
        <f t="shared" si="1"/>
        <v>Not Assessed</v>
      </c>
      <c r="P19" s="44"/>
      <c r="Q19" s="48" t="s">
        <v>481</v>
      </c>
      <c r="R19" s="48" t="s">
        <v>411</v>
      </c>
      <c r="S19" s="44"/>
      <c r="T19" s="44"/>
      <c r="U19" s="44"/>
      <c r="V19" s="44"/>
    </row>
    <row r="20" spans="1:22" ht="109.05" customHeight="1" x14ac:dyDescent="0.45">
      <c r="A20" s="52" t="s">
        <v>455</v>
      </c>
      <c r="B20" s="42" t="s">
        <v>456</v>
      </c>
      <c r="C20" s="42" t="s">
        <v>482</v>
      </c>
      <c r="D20" s="42" t="s">
        <v>483</v>
      </c>
      <c r="E20" s="42" t="s">
        <v>321</v>
      </c>
      <c r="F20" s="43" t="s">
        <v>484</v>
      </c>
      <c r="G20" s="42" t="s">
        <v>485</v>
      </c>
      <c r="H20" s="42" t="s">
        <v>486</v>
      </c>
      <c r="I20" s="42" t="s">
        <v>487</v>
      </c>
      <c r="J20" s="42" t="s">
        <v>488</v>
      </c>
      <c r="K20" s="44"/>
      <c r="L20" s="45">
        <v>2</v>
      </c>
      <c r="M20" s="46" t="str">
        <f t="shared" si="0"/>
        <v/>
      </c>
      <c r="N20" s="45">
        <v>1</v>
      </c>
      <c r="O20" s="47" t="str">
        <f t="shared" si="1"/>
        <v>Not Assessed</v>
      </c>
      <c r="P20" s="44"/>
      <c r="Q20" s="42" t="s">
        <v>489</v>
      </c>
      <c r="R20" s="42" t="s">
        <v>411</v>
      </c>
      <c r="S20" s="44"/>
      <c r="T20" s="44"/>
      <c r="U20" s="44"/>
      <c r="V20" s="44"/>
    </row>
    <row r="21" spans="1:22" ht="94.05" customHeight="1" x14ac:dyDescent="0.45">
      <c r="A21" s="52" t="s">
        <v>455</v>
      </c>
      <c r="B21" s="48" t="s">
        <v>490</v>
      </c>
      <c r="C21" s="48" t="s">
        <v>491</v>
      </c>
      <c r="D21" s="48" t="s">
        <v>492</v>
      </c>
      <c r="E21" s="48" t="s">
        <v>321</v>
      </c>
      <c r="F21" s="49" t="s">
        <v>493</v>
      </c>
      <c r="G21" s="48" t="s">
        <v>494</v>
      </c>
      <c r="H21" s="48" t="s">
        <v>495</v>
      </c>
      <c r="I21" s="48" t="s">
        <v>496</v>
      </c>
      <c r="J21" s="48" t="s">
        <v>497</v>
      </c>
      <c r="K21" s="44"/>
      <c r="L21" s="50">
        <v>2</v>
      </c>
      <c r="M21" s="46" t="str">
        <f t="shared" si="0"/>
        <v/>
      </c>
      <c r="N21" s="50">
        <v>1</v>
      </c>
      <c r="O21" s="47" t="str">
        <f t="shared" si="1"/>
        <v>Not Assessed</v>
      </c>
      <c r="P21" s="44"/>
      <c r="Q21" s="48" t="s">
        <v>498</v>
      </c>
      <c r="R21" s="48" t="s">
        <v>411</v>
      </c>
      <c r="S21" s="44"/>
      <c r="T21" s="44"/>
      <c r="U21" s="44"/>
      <c r="V21" s="44"/>
    </row>
    <row r="22" spans="1:22" ht="109.05" customHeight="1" x14ac:dyDescent="0.45">
      <c r="A22" s="52" t="s">
        <v>455</v>
      </c>
      <c r="B22" s="42" t="s">
        <v>499</v>
      </c>
      <c r="C22" s="42" t="s">
        <v>500</v>
      </c>
      <c r="D22" s="42" t="s">
        <v>501</v>
      </c>
      <c r="E22" s="42" t="s">
        <v>321</v>
      </c>
      <c r="F22" s="43" t="s">
        <v>502</v>
      </c>
      <c r="G22" s="42" t="s">
        <v>503</v>
      </c>
      <c r="H22" s="42" t="s">
        <v>504</v>
      </c>
      <c r="I22" s="42" t="s">
        <v>505</v>
      </c>
      <c r="J22" s="42" t="s">
        <v>506</v>
      </c>
      <c r="K22" s="44"/>
      <c r="L22" s="45">
        <v>2</v>
      </c>
      <c r="M22" s="46" t="str">
        <f t="shared" si="0"/>
        <v/>
      </c>
      <c r="N22" s="45">
        <v>1</v>
      </c>
      <c r="O22" s="47" t="str">
        <f t="shared" si="1"/>
        <v>Not Assessed</v>
      </c>
      <c r="P22" s="44"/>
      <c r="Q22" s="42" t="s">
        <v>507</v>
      </c>
      <c r="R22" s="42" t="s">
        <v>411</v>
      </c>
      <c r="S22" s="44"/>
      <c r="T22" s="44"/>
      <c r="U22" s="44"/>
      <c r="V22" s="44"/>
    </row>
    <row r="23" spans="1:22" ht="79.05" customHeight="1" x14ac:dyDescent="0.45">
      <c r="A23" s="52" t="s">
        <v>455</v>
      </c>
      <c r="B23" s="48" t="s">
        <v>499</v>
      </c>
      <c r="C23" s="48" t="s">
        <v>508</v>
      </c>
      <c r="D23" s="48" t="s">
        <v>509</v>
      </c>
      <c r="E23" s="48" t="s">
        <v>341</v>
      </c>
      <c r="F23" s="49" t="s">
        <v>510</v>
      </c>
      <c r="G23" s="48" t="s">
        <v>511</v>
      </c>
      <c r="H23" s="48" t="s">
        <v>512</v>
      </c>
      <c r="I23" s="48" t="s">
        <v>513</v>
      </c>
      <c r="J23" s="48" t="s">
        <v>514</v>
      </c>
      <c r="K23" s="44"/>
      <c r="L23" s="50">
        <v>2</v>
      </c>
      <c r="M23" s="46" t="str">
        <f t="shared" si="0"/>
        <v/>
      </c>
      <c r="N23" s="50">
        <v>1</v>
      </c>
      <c r="O23" s="47" t="str">
        <f t="shared" si="1"/>
        <v>Not Assessed</v>
      </c>
      <c r="P23" s="44"/>
      <c r="Q23" s="48" t="s">
        <v>515</v>
      </c>
      <c r="R23" s="48" t="s">
        <v>411</v>
      </c>
      <c r="S23" s="44"/>
      <c r="T23" s="44"/>
      <c r="U23" s="44"/>
      <c r="V23" s="44"/>
    </row>
    <row r="24" spans="1:22" ht="79.05" customHeight="1" x14ac:dyDescent="0.45">
      <c r="A24" s="53" t="s">
        <v>516</v>
      </c>
      <c r="B24" s="42" t="s">
        <v>517</v>
      </c>
      <c r="C24" s="42" t="s">
        <v>518</v>
      </c>
      <c r="D24" s="42" t="s">
        <v>519</v>
      </c>
      <c r="E24" s="42" t="s">
        <v>321</v>
      </c>
      <c r="F24" s="43" t="s">
        <v>520</v>
      </c>
      <c r="G24" s="42" t="s">
        <v>521</v>
      </c>
      <c r="H24" s="42" t="s">
        <v>522</v>
      </c>
      <c r="I24" s="42" t="s">
        <v>523</v>
      </c>
      <c r="J24" s="42" t="s">
        <v>524</v>
      </c>
      <c r="K24" s="44"/>
      <c r="L24" s="45">
        <v>2</v>
      </c>
      <c r="M24" s="46" t="str">
        <f t="shared" si="0"/>
        <v/>
      </c>
      <c r="N24" s="45">
        <v>1</v>
      </c>
      <c r="O24" s="47" t="str">
        <f t="shared" si="1"/>
        <v>Not Assessed</v>
      </c>
      <c r="P24" s="44"/>
      <c r="Q24" s="42" t="s">
        <v>525</v>
      </c>
      <c r="R24" s="42" t="s">
        <v>411</v>
      </c>
      <c r="S24" s="44"/>
      <c r="T24" s="44"/>
      <c r="U24" s="44"/>
      <c r="V24" s="44"/>
    </row>
    <row r="25" spans="1:22" ht="94.05" customHeight="1" x14ac:dyDescent="0.45">
      <c r="A25" s="53" t="s">
        <v>516</v>
      </c>
      <c r="B25" s="48" t="s">
        <v>517</v>
      </c>
      <c r="C25" s="48" t="s">
        <v>526</v>
      </c>
      <c r="D25" s="48" t="s">
        <v>527</v>
      </c>
      <c r="E25" s="48" t="s">
        <v>341</v>
      </c>
      <c r="F25" s="49" t="s">
        <v>528</v>
      </c>
      <c r="G25" s="48" t="s">
        <v>529</v>
      </c>
      <c r="H25" s="48" t="s">
        <v>530</v>
      </c>
      <c r="I25" s="48" t="s">
        <v>531</v>
      </c>
      <c r="J25" s="48" t="s">
        <v>532</v>
      </c>
      <c r="K25" s="44"/>
      <c r="L25" s="50">
        <v>2</v>
      </c>
      <c r="M25" s="46" t="str">
        <f t="shared" si="0"/>
        <v/>
      </c>
      <c r="N25" s="50">
        <v>1</v>
      </c>
      <c r="O25" s="47" t="str">
        <f t="shared" si="1"/>
        <v>Not Assessed</v>
      </c>
      <c r="P25" s="44"/>
      <c r="Q25" s="48" t="s">
        <v>533</v>
      </c>
      <c r="R25" s="48" t="s">
        <v>411</v>
      </c>
      <c r="S25" s="44"/>
      <c r="T25" s="44"/>
      <c r="U25" s="44"/>
      <c r="V25" s="44"/>
    </row>
    <row r="26" spans="1:22" ht="79.05" customHeight="1" x14ac:dyDescent="0.45">
      <c r="A26" s="53" t="s">
        <v>516</v>
      </c>
      <c r="B26" s="42" t="s">
        <v>517</v>
      </c>
      <c r="C26" s="42" t="s">
        <v>534</v>
      </c>
      <c r="D26" s="42" t="s">
        <v>535</v>
      </c>
      <c r="E26" s="42" t="s">
        <v>341</v>
      </c>
      <c r="F26" s="43" t="s">
        <v>536</v>
      </c>
      <c r="G26" s="42" t="s">
        <v>537</v>
      </c>
      <c r="H26" s="42" t="s">
        <v>538</v>
      </c>
      <c r="I26" s="42" t="s">
        <v>539</v>
      </c>
      <c r="J26" s="42" t="s">
        <v>540</v>
      </c>
      <c r="K26" s="44"/>
      <c r="L26" s="45">
        <v>2</v>
      </c>
      <c r="M26" s="46" t="str">
        <f t="shared" si="0"/>
        <v/>
      </c>
      <c r="N26" s="45">
        <v>1</v>
      </c>
      <c r="O26" s="47" t="str">
        <f t="shared" si="1"/>
        <v>Not Assessed</v>
      </c>
      <c r="P26" s="44"/>
      <c r="Q26" s="42" t="s">
        <v>541</v>
      </c>
      <c r="R26" s="42" t="s">
        <v>542</v>
      </c>
      <c r="S26" s="44"/>
      <c r="T26" s="44"/>
      <c r="U26" s="44"/>
      <c r="V26" s="44"/>
    </row>
    <row r="27" spans="1:22" ht="94.05" customHeight="1" x14ac:dyDescent="0.45">
      <c r="A27" s="53" t="s">
        <v>516</v>
      </c>
      <c r="B27" s="48" t="s">
        <v>517</v>
      </c>
      <c r="C27" s="48" t="s">
        <v>543</v>
      </c>
      <c r="D27" s="48" t="s">
        <v>544</v>
      </c>
      <c r="E27" s="48" t="s">
        <v>321</v>
      </c>
      <c r="F27" s="49" t="s">
        <v>545</v>
      </c>
      <c r="G27" s="48" t="s">
        <v>546</v>
      </c>
      <c r="H27" s="48" t="s">
        <v>547</v>
      </c>
      <c r="I27" s="48" t="s">
        <v>548</v>
      </c>
      <c r="J27" s="48" t="s">
        <v>549</v>
      </c>
      <c r="K27" s="44"/>
      <c r="L27" s="50">
        <v>2</v>
      </c>
      <c r="M27" s="46" t="str">
        <f t="shared" si="0"/>
        <v/>
      </c>
      <c r="N27" s="50">
        <v>1</v>
      </c>
      <c r="O27" s="47" t="str">
        <f t="shared" si="1"/>
        <v>Not Assessed</v>
      </c>
      <c r="P27" s="44"/>
      <c r="Q27" s="48" t="s">
        <v>550</v>
      </c>
      <c r="R27" s="48" t="s">
        <v>411</v>
      </c>
      <c r="S27" s="44"/>
      <c r="T27" s="44"/>
      <c r="U27" s="44"/>
      <c r="V27" s="44"/>
    </row>
    <row r="28" spans="1:22" ht="94.05" customHeight="1" x14ac:dyDescent="0.45">
      <c r="A28" s="53" t="s">
        <v>516</v>
      </c>
      <c r="B28" s="42" t="s">
        <v>551</v>
      </c>
      <c r="C28" s="42" t="s">
        <v>552</v>
      </c>
      <c r="D28" s="42" t="s">
        <v>553</v>
      </c>
      <c r="E28" s="42" t="s">
        <v>341</v>
      </c>
      <c r="F28" s="43" t="s">
        <v>554</v>
      </c>
      <c r="G28" s="42" t="s">
        <v>555</v>
      </c>
      <c r="H28" s="42" t="s">
        <v>556</v>
      </c>
      <c r="I28" s="42" t="s">
        <v>557</v>
      </c>
      <c r="J28" s="42" t="s">
        <v>558</v>
      </c>
      <c r="K28" s="44"/>
      <c r="L28" s="45">
        <v>2</v>
      </c>
      <c r="M28" s="46" t="str">
        <f t="shared" si="0"/>
        <v/>
      </c>
      <c r="N28" s="45">
        <v>1</v>
      </c>
      <c r="O28" s="47" t="str">
        <f t="shared" si="1"/>
        <v>Not Assessed</v>
      </c>
      <c r="P28" s="44"/>
      <c r="Q28" s="42" t="s">
        <v>559</v>
      </c>
      <c r="R28" s="42" t="s">
        <v>411</v>
      </c>
      <c r="S28" s="44"/>
      <c r="T28" s="44"/>
      <c r="U28" s="44"/>
      <c r="V28" s="44"/>
    </row>
    <row r="29" spans="1:22" ht="94.05" customHeight="1" x14ac:dyDescent="0.45">
      <c r="A29" s="54" t="s">
        <v>560</v>
      </c>
      <c r="B29" s="48" t="s">
        <v>561</v>
      </c>
      <c r="C29" s="48" t="s">
        <v>562</v>
      </c>
      <c r="D29" s="48" t="s">
        <v>563</v>
      </c>
      <c r="E29" s="48" t="s">
        <v>341</v>
      </c>
      <c r="F29" s="49" t="s">
        <v>564</v>
      </c>
      <c r="G29" s="48" t="s">
        <v>565</v>
      </c>
      <c r="H29" s="48" t="s">
        <v>566</v>
      </c>
      <c r="I29" s="48" t="s">
        <v>567</v>
      </c>
      <c r="J29" s="48" t="s">
        <v>568</v>
      </c>
      <c r="K29" s="44"/>
      <c r="L29" s="50">
        <v>2</v>
      </c>
      <c r="M29" s="46" t="str">
        <f t="shared" si="0"/>
        <v/>
      </c>
      <c r="N29" s="50">
        <v>1</v>
      </c>
      <c r="O29" s="47" t="str">
        <f t="shared" si="1"/>
        <v>Not Assessed</v>
      </c>
      <c r="P29" s="44"/>
      <c r="Q29" s="48" t="s">
        <v>569</v>
      </c>
      <c r="R29" s="48" t="s">
        <v>328</v>
      </c>
      <c r="S29" s="44"/>
      <c r="T29" s="44"/>
      <c r="U29" s="44"/>
      <c r="V29" s="44"/>
    </row>
    <row r="30" spans="1:22" ht="94.05" customHeight="1" x14ac:dyDescent="0.45">
      <c r="A30" s="54" t="s">
        <v>560</v>
      </c>
      <c r="B30" s="42" t="s">
        <v>561</v>
      </c>
      <c r="C30" s="42" t="s">
        <v>562</v>
      </c>
      <c r="D30" s="42" t="s">
        <v>563</v>
      </c>
      <c r="E30" s="42" t="s">
        <v>341</v>
      </c>
      <c r="F30" s="43" t="s">
        <v>570</v>
      </c>
      <c r="G30" s="42" t="s">
        <v>571</v>
      </c>
      <c r="H30" s="42" t="s">
        <v>572</v>
      </c>
      <c r="I30" s="42" t="s">
        <v>573</v>
      </c>
      <c r="J30" s="42" t="s">
        <v>574</v>
      </c>
      <c r="K30" s="44"/>
      <c r="L30" s="45">
        <v>2</v>
      </c>
      <c r="M30" s="46" t="str">
        <f t="shared" si="0"/>
        <v/>
      </c>
      <c r="N30" s="45">
        <v>1</v>
      </c>
      <c r="O30" s="47" t="str">
        <f t="shared" si="1"/>
        <v>Not Assessed</v>
      </c>
      <c r="P30" s="44"/>
      <c r="Q30" s="42" t="s">
        <v>575</v>
      </c>
      <c r="R30" s="42" t="s">
        <v>328</v>
      </c>
      <c r="S30" s="44"/>
      <c r="T30" s="44"/>
      <c r="U30" s="44"/>
      <c r="V30" s="44"/>
    </row>
    <row r="31" spans="1:22" ht="94.05" customHeight="1" x14ac:dyDescent="0.45">
      <c r="A31" s="54" t="s">
        <v>560</v>
      </c>
      <c r="B31" s="48" t="s">
        <v>576</v>
      </c>
      <c r="C31" s="48" t="s">
        <v>577</v>
      </c>
      <c r="D31" s="48" t="s">
        <v>578</v>
      </c>
      <c r="E31" s="48" t="s">
        <v>341</v>
      </c>
      <c r="F31" s="49" t="s">
        <v>579</v>
      </c>
      <c r="G31" s="48" t="s">
        <v>580</v>
      </c>
      <c r="H31" s="48" t="s">
        <v>581</v>
      </c>
      <c r="I31" s="48" t="s">
        <v>582</v>
      </c>
      <c r="J31" s="48" t="s">
        <v>583</v>
      </c>
      <c r="K31" s="44"/>
      <c r="L31" s="50">
        <v>2</v>
      </c>
      <c r="M31" s="46" t="str">
        <f t="shared" si="0"/>
        <v/>
      </c>
      <c r="N31" s="50">
        <v>1</v>
      </c>
      <c r="O31" s="47" t="str">
        <f t="shared" si="1"/>
        <v>Not Assessed</v>
      </c>
      <c r="P31" s="44"/>
      <c r="Q31" s="48" t="s">
        <v>584</v>
      </c>
      <c r="R31" s="48" t="s">
        <v>411</v>
      </c>
      <c r="S31" s="44"/>
      <c r="T31" s="44"/>
      <c r="U31" s="44"/>
      <c r="V31" s="44"/>
    </row>
    <row r="32" spans="1:22" ht="109.05" customHeight="1" x14ac:dyDescent="0.45">
      <c r="A32" s="54" t="s">
        <v>560</v>
      </c>
      <c r="B32" s="42" t="s">
        <v>585</v>
      </c>
      <c r="C32" s="42" t="s">
        <v>586</v>
      </c>
      <c r="D32" s="42" t="s">
        <v>587</v>
      </c>
      <c r="E32" s="42" t="s">
        <v>341</v>
      </c>
      <c r="F32" s="43" t="s">
        <v>588</v>
      </c>
      <c r="G32" s="42" t="s">
        <v>589</v>
      </c>
      <c r="H32" s="42" t="s">
        <v>590</v>
      </c>
      <c r="I32" s="42" t="s">
        <v>591</v>
      </c>
      <c r="J32" s="42" t="s">
        <v>592</v>
      </c>
      <c r="K32" s="44"/>
      <c r="L32" s="45">
        <v>2</v>
      </c>
      <c r="M32" s="46" t="str">
        <f t="shared" si="0"/>
        <v/>
      </c>
      <c r="N32" s="45">
        <v>1</v>
      </c>
      <c r="O32" s="47" t="str">
        <f t="shared" si="1"/>
        <v>Not Assessed</v>
      </c>
      <c r="P32" s="44"/>
      <c r="Q32" s="42" t="s">
        <v>593</v>
      </c>
      <c r="R32" s="42" t="s">
        <v>411</v>
      </c>
      <c r="S32" s="44"/>
      <c r="T32" s="44"/>
      <c r="U32" s="44"/>
      <c r="V32" s="44"/>
    </row>
    <row r="33" spans="1:22" ht="94.05" customHeight="1" x14ac:dyDescent="0.45">
      <c r="A33" s="54" t="s">
        <v>560</v>
      </c>
      <c r="B33" s="48" t="s">
        <v>594</v>
      </c>
      <c r="C33" s="48" t="s">
        <v>595</v>
      </c>
      <c r="D33" s="48" t="s">
        <v>596</v>
      </c>
      <c r="E33" s="48" t="s">
        <v>341</v>
      </c>
      <c r="F33" s="49" t="s">
        <v>597</v>
      </c>
      <c r="G33" s="48" t="s">
        <v>598</v>
      </c>
      <c r="H33" s="48" t="s">
        <v>599</v>
      </c>
      <c r="I33" s="48" t="s">
        <v>600</v>
      </c>
      <c r="J33" s="48" t="s">
        <v>601</v>
      </c>
      <c r="K33" s="44"/>
      <c r="L33" s="50">
        <v>2</v>
      </c>
      <c r="M33" s="46" t="str">
        <f t="shared" si="0"/>
        <v/>
      </c>
      <c r="N33" s="50">
        <v>1</v>
      </c>
      <c r="O33" s="47" t="str">
        <f t="shared" si="1"/>
        <v>Not Assessed</v>
      </c>
      <c r="P33" s="44"/>
      <c r="Q33" s="48" t="s">
        <v>602</v>
      </c>
      <c r="R33" s="48" t="s">
        <v>337</v>
      </c>
      <c r="S33" s="44"/>
      <c r="T33" s="44"/>
      <c r="U33" s="44"/>
      <c r="V33" s="44"/>
    </row>
    <row r="34" spans="1:22" ht="94.05" customHeight="1" x14ac:dyDescent="0.45">
      <c r="A34" s="55" t="s">
        <v>603</v>
      </c>
      <c r="B34" s="42" t="s">
        <v>604</v>
      </c>
      <c r="C34" s="42" t="s">
        <v>605</v>
      </c>
      <c r="D34" s="42" t="s">
        <v>606</v>
      </c>
      <c r="E34" s="42" t="s">
        <v>341</v>
      </c>
      <c r="F34" s="43" t="s">
        <v>607</v>
      </c>
      <c r="G34" s="42" t="s">
        <v>608</v>
      </c>
      <c r="H34" s="42" t="s">
        <v>609</v>
      </c>
      <c r="I34" s="42" t="s">
        <v>610</v>
      </c>
      <c r="J34" s="42" t="s">
        <v>611</v>
      </c>
      <c r="K34" s="44"/>
      <c r="L34" s="45">
        <v>2</v>
      </c>
      <c r="M34" s="46" t="str">
        <f t="shared" si="0"/>
        <v/>
      </c>
      <c r="N34" s="45">
        <v>1</v>
      </c>
      <c r="O34" s="47" t="str">
        <f t="shared" si="1"/>
        <v>Not Assessed</v>
      </c>
      <c r="P34" s="44"/>
      <c r="Q34" s="42" t="s">
        <v>612</v>
      </c>
      <c r="R34" s="42" t="s">
        <v>411</v>
      </c>
      <c r="S34" s="44"/>
      <c r="T34" s="44"/>
      <c r="U34" s="44"/>
      <c r="V34" s="44"/>
    </row>
    <row r="35" spans="1:22" ht="94.05" customHeight="1" x14ac:dyDescent="0.45">
      <c r="A35" s="55" t="s">
        <v>603</v>
      </c>
      <c r="B35" s="48" t="s">
        <v>604</v>
      </c>
      <c r="C35" s="48" t="s">
        <v>613</v>
      </c>
      <c r="D35" s="48" t="s">
        <v>614</v>
      </c>
      <c r="E35" s="48" t="s">
        <v>615</v>
      </c>
      <c r="F35" s="49" t="s">
        <v>616</v>
      </c>
      <c r="G35" s="48" t="s">
        <v>617</v>
      </c>
      <c r="H35" s="48" t="s">
        <v>618</v>
      </c>
      <c r="I35" s="48" t="s">
        <v>619</v>
      </c>
      <c r="J35" s="48" t="s">
        <v>620</v>
      </c>
      <c r="K35" s="44"/>
      <c r="L35" s="50">
        <v>2</v>
      </c>
      <c r="M35" s="46" t="str">
        <f t="shared" si="0"/>
        <v/>
      </c>
      <c r="N35" s="50">
        <v>1</v>
      </c>
      <c r="O35" s="47" t="str">
        <f t="shared" si="1"/>
        <v>Not Assessed</v>
      </c>
      <c r="P35" s="44"/>
      <c r="Q35" s="48" t="s">
        <v>621</v>
      </c>
      <c r="R35" s="48" t="s">
        <v>328</v>
      </c>
      <c r="S35" s="44"/>
      <c r="T35" s="44"/>
      <c r="U35" s="44"/>
      <c r="V35" s="44"/>
    </row>
    <row r="36" spans="1:22" ht="94.05" customHeight="1" x14ac:dyDescent="0.45">
      <c r="A36" s="55" t="s">
        <v>603</v>
      </c>
      <c r="B36" s="42" t="s">
        <v>604</v>
      </c>
      <c r="C36" s="42" t="s">
        <v>622</v>
      </c>
      <c r="D36" s="42" t="s">
        <v>623</v>
      </c>
      <c r="E36" s="42" t="s">
        <v>341</v>
      </c>
      <c r="F36" s="43" t="s">
        <v>624</v>
      </c>
      <c r="G36" s="42" t="s">
        <v>625</v>
      </c>
      <c r="H36" s="42" t="s">
        <v>626</v>
      </c>
      <c r="I36" s="42" t="s">
        <v>627</v>
      </c>
      <c r="J36" s="42" t="s">
        <v>628</v>
      </c>
      <c r="K36" s="44"/>
      <c r="L36" s="45">
        <v>2</v>
      </c>
      <c r="M36" s="46" t="str">
        <f t="shared" si="0"/>
        <v/>
      </c>
      <c r="N36" s="45">
        <v>1</v>
      </c>
      <c r="O36" s="47" t="str">
        <f t="shared" si="1"/>
        <v>Not Assessed</v>
      </c>
      <c r="P36" s="44"/>
      <c r="Q36" s="42" t="s">
        <v>629</v>
      </c>
      <c r="R36" s="42" t="s">
        <v>411</v>
      </c>
      <c r="S36" s="44"/>
      <c r="T36" s="44"/>
      <c r="U36" s="44"/>
      <c r="V36" s="44"/>
    </row>
    <row r="37" spans="1:22" ht="94.05" customHeight="1" x14ac:dyDescent="0.45">
      <c r="A37" s="55" t="s">
        <v>603</v>
      </c>
      <c r="B37" s="48" t="s">
        <v>604</v>
      </c>
      <c r="C37" s="48" t="s">
        <v>630</v>
      </c>
      <c r="D37" s="48" t="s">
        <v>631</v>
      </c>
      <c r="E37" s="48" t="s">
        <v>341</v>
      </c>
      <c r="F37" s="49" t="s">
        <v>632</v>
      </c>
      <c r="G37" s="48" t="s">
        <v>633</v>
      </c>
      <c r="H37" s="48" t="s">
        <v>634</v>
      </c>
      <c r="I37" s="48" t="s">
        <v>635</v>
      </c>
      <c r="J37" s="48" t="s">
        <v>636</v>
      </c>
      <c r="K37" s="44"/>
      <c r="L37" s="50">
        <v>2</v>
      </c>
      <c r="M37" s="46" t="str">
        <f t="shared" si="0"/>
        <v/>
      </c>
      <c r="N37" s="50">
        <v>1</v>
      </c>
      <c r="O37" s="47" t="str">
        <f t="shared" si="1"/>
        <v>Not Assessed</v>
      </c>
      <c r="P37" s="44"/>
      <c r="Q37" s="48" t="s">
        <v>637</v>
      </c>
      <c r="R37" s="48" t="s">
        <v>411</v>
      </c>
      <c r="S37" s="44"/>
      <c r="T37" s="44"/>
      <c r="U37" s="44"/>
      <c r="V37" s="44"/>
    </row>
    <row r="38" spans="1:22" ht="94.05" customHeight="1" x14ac:dyDescent="0.45">
      <c r="A38" s="55" t="s">
        <v>603</v>
      </c>
      <c r="B38" s="42" t="s">
        <v>638</v>
      </c>
      <c r="C38" s="42" t="s">
        <v>639</v>
      </c>
      <c r="D38" s="42" t="s">
        <v>640</v>
      </c>
      <c r="E38" s="42" t="s">
        <v>341</v>
      </c>
      <c r="F38" s="43" t="s">
        <v>641</v>
      </c>
      <c r="G38" s="42" t="s">
        <v>642</v>
      </c>
      <c r="H38" s="42" t="s">
        <v>643</v>
      </c>
      <c r="I38" s="42" t="s">
        <v>644</v>
      </c>
      <c r="J38" s="42" t="s">
        <v>645</v>
      </c>
      <c r="K38" s="44"/>
      <c r="L38" s="45">
        <v>2</v>
      </c>
      <c r="M38" s="46" t="str">
        <f t="shared" si="0"/>
        <v/>
      </c>
      <c r="N38" s="45">
        <v>1</v>
      </c>
      <c r="O38" s="47" t="str">
        <f t="shared" si="1"/>
        <v>Not Assessed</v>
      </c>
      <c r="P38" s="44"/>
      <c r="Q38" s="42" t="s">
        <v>646</v>
      </c>
      <c r="R38" s="42" t="s">
        <v>328</v>
      </c>
      <c r="S38" s="44"/>
      <c r="T38" s="44"/>
      <c r="U38" s="44"/>
      <c r="V38" s="44"/>
    </row>
    <row r="39" spans="1:22" ht="94.05" customHeight="1" x14ac:dyDescent="0.45">
      <c r="A39" s="55" t="s">
        <v>603</v>
      </c>
      <c r="B39" s="48" t="s">
        <v>604</v>
      </c>
      <c r="C39" s="48" t="s">
        <v>613</v>
      </c>
      <c r="D39" s="48" t="s">
        <v>614</v>
      </c>
      <c r="E39" s="48" t="s">
        <v>615</v>
      </c>
      <c r="F39" s="49" t="s">
        <v>647</v>
      </c>
      <c r="G39" s="48" t="s">
        <v>648</v>
      </c>
      <c r="H39" s="48" t="s">
        <v>649</v>
      </c>
      <c r="I39" s="48" t="s">
        <v>650</v>
      </c>
      <c r="J39" s="48" t="s">
        <v>651</v>
      </c>
      <c r="K39" s="44"/>
      <c r="L39" s="50">
        <v>2</v>
      </c>
      <c r="M39" s="46" t="str">
        <f t="shared" si="0"/>
        <v/>
      </c>
      <c r="N39" s="50">
        <v>1</v>
      </c>
      <c r="O39" s="47" t="str">
        <f t="shared" si="1"/>
        <v>Not Assessed</v>
      </c>
      <c r="P39" s="44"/>
      <c r="Q39" s="48" t="s">
        <v>652</v>
      </c>
      <c r="R39" s="48" t="s">
        <v>328</v>
      </c>
      <c r="S39" s="44"/>
      <c r="T39" s="44"/>
      <c r="U39" s="44"/>
      <c r="V39" s="44"/>
    </row>
  </sheetData>
  <autoFilter ref="A1:V39" xr:uid="{00000000-0009-0000-0000-000004000000}"/>
  <conditionalFormatting sqref="O2:O39">
    <cfRule type="expression" dxfId="20" priority="1">
      <formula>$O2="PASS"</formula>
    </cfRule>
    <cfRule type="expression" dxfId="19" priority="2">
      <formula>$O2="PARTIAL"</formula>
    </cfRule>
    <cfRule type="expression" dxfId="18" priority="3">
      <formula>$O2="FAIL"</formula>
    </cfRule>
    <cfRule type="expression" dxfId="17" priority="4">
      <formula>$O2="Not Assessed"</formula>
    </cfRule>
  </conditionalFormatting>
  <dataValidations count="1">
    <dataValidation type="list" allowBlank="1" showErrorMessage="1" errorTitle="Invalid Entry" error="Please select: Not Started, Partial, or Implemented" sqref="K2:K39" xr:uid="{00000000-0002-0000-0400-000000000000}">
      <formula1>"Not Started,Partial,Implemented"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21B6"/>
  </sheetPr>
  <dimension ref="A1:AA87"/>
  <sheetViews>
    <sheetView showGridLines="0" zoomScale="80" workbookViewId="0">
      <selection activeCell="A88" sqref="A88"/>
    </sheetView>
  </sheetViews>
  <sheetFormatPr defaultRowHeight="14.25" x14ac:dyDescent="0.45"/>
  <cols>
    <col min="1" max="1" width="3" customWidth="1"/>
    <col min="2" max="3" width="16" customWidth="1"/>
    <col min="4" max="4" width="26" customWidth="1"/>
    <col min="5" max="5" width="16" customWidth="1"/>
    <col min="6" max="6" width="4" customWidth="1"/>
    <col min="7" max="27" width="13" customWidth="1"/>
  </cols>
  <sheetData>
    <row r="1" spans="1:27" ht="1.05" customHeight="1" x14ac:dyDescent="0.45">
      <c r="A1" s="1"/>
      <c r="B1" s="1"/>
      <c r="C1" s="1"/>
      <c r="D1" s="1"/>
      <c r="E1" s="1"/>
      <c r="F1" s="1"/>
      <c r="AA1" s="2" t="s">
        <v>0</v>
      </c>
    </row>
    <row r="2" spans="1:27" ht="28.05" customHeight="1" x14ac:dyDescent="0.45">
      <c r="A2" s="3"/>
      <c r="B2" s="134" t="s">
        <v>653</v>
      </c>
      <c r="C2" s="127"/>
      <c r="D2" s="127"/>
      <c r="E2" s="127"/>
      <c r="F2" s="3"/>
    </row>
    <row r="3" spans="1:27" ht="22.05" customHeight="1" x14ac:dyDescent="0.45">
      <c r="A3" s="3"/>
      <c r="B3" s="141" t="s">
        <v>2</v>
      </c>
      <c r="C3" s="127"/>
      <c r="D3" s="127"/>
      <c r="E3" s="127"/>
      <c r="F3" s="3"/>
    </row>
    <row r="4" spans="1:27" ht="34.049999999999997" customHeight="1" x14ac:dyDescent="0.45">
      <c r="A4" s="4"/>
      <c r="B4" s="136" t="s">
        <v>654</v>
      </c>
      <c r="C4" s="127"/>
      <c r="D4" s="127"/>
      <c r="E4" s="127"/>
      <c r="F4" s="4"/>
    </row>
    <row r="5" spans="1:27" ht="8" customHeight="1" x14ac:dyDescent="0.45">
      <c r="A5" s="1"/>
      <c r="B5" s="1"/>
      <c r="C5" s="1"/>
      <c r="D5" s="1"/>
      <c r="E5" s="1"/>
      <c r="F5" s="1"/>
    </row>
    <row r="6" spans="1:27" ht="20" customHeight="1" x14ac:dyDescent="0.45">
      <c r="A6" s="3"/>
      <c r="B6" s="137" t="s">
        <v>655</v>
      </c>
      <c r="C6" s="127"/>
      <c r="D6" s="127"/>
      <c r="E6" s="127"/>
      <c r="F6" s="3"/>
    </row>
    <row r="7" spans="1:27" ht="19.05" customHeight="1" x14ac:dyDescent="0.45">
      <c r="A7" s="3"/>
      <c r="B7" s="40" t="s">
        <v>40</v>
      </c>
      <c r="C7" s="40" t="s">
        <v>656</v>
      </c>
      <c r="D7" s="40" t="s">
        <v>657</v>
      </c>
      <c r="E7" s="40" t="s">
        <v>658</v>
      </c>
      <c r="F7" s="3"/>
    </row>
    <row r="8" spans="1:27" ht="20" customHeight="1" x14ac:dyDescent="0.45">
      <c r="A8" s="15"/>
      <c r="B8" s="56" t="s">
        <v>185</v>
      </c>
      <c r="C8" s="57">
        <f>COUNTIF('Controls Assessment'!K2:K100,"Implemented")</f>
        <v>0</v>
      </c>
      <c r="D8" s="58">
        <f>IFERROR(COUNTIF('Controls Assessment'!K2:K100,"Implemented")/COUNTA('Controls Assessment'!F2:F100),0)</f>
        <v>0</v>
      </c>
      <c r="E8" s="58">
        <f>IFERROR(COUNTIF('Controls Assessment'!K2:K100,"Implemented")/COUNTA('Controls Assessment'!F2:F100),0)</f>
        <v>0</v>
      </c>
      <c r="F8" s="15"/>
    </row>
    <row r="9" spans="1:27" ht="20" customHeight="1" x14ac:dyDescent="0.45">
      <c r="A9" s="18"/>
      <c r="B9" s="59" t="s">
        <v>188</v>
      </c>
      <c r="C9" s="60">
        <f>COUNTIF('Controls Assessment'!K2:K100,"Partial")</f>
        <v>0</v>
      </c>
      <c r="D9" s="61">
        <f>IFERROR(COUNTIF('Controls Assessment'!K2:K100,"Partial")/COUNTA('Controls Assessment'!F2:F100),0)</f>
        <v>0</v>
      </c>
      <c r="E9" s="61">
        <f>IFERROR((COUNTIF('Controls Assessment'!K2:K100,"Implemented")+COUNTIF('Controls Assessment'!K2:K100,"Partial"))/COUNTA('Controls Assessment'!F2:F100),0)</f>
        <v>0</v>
      </c>
      <c r="F9" s="18"/>
    </row>
    <row r="10" spans="1:27" ht="20" customHeight="1" x14ac:dyDescent="0.45">
      <c r="A10" s="21"/>
      <c r="B10" s="62" t="s">
        <v>191</v>
      </c>
      <c r="C10" s="63">
        <f>COUNTIF('Controls Assessment'!K2:K100,"Not Started")</f>
        <v>0</v>
      </c>
      <c r="D10" s="64">
        <f>IFERROR(COUNTIF('Controls Assessment'!K2:K100,"Not Started")/COUNTA('Controls Assessment'!F2:F100),0)</f>
        <v>0</v>
      </c>
      <c r="E10" s="64">
        <f>IFERROR((COUNTIF('Controls Assessment'!K2:K100,"Implemented")+COUNTIF('Controls Assessment'!K2:K100,"Partial")+COUNTIF('Controls Assessment'!K2:K100,"Not Started"))/COUNTA('Controls Assessment'!F2:F100),0)</f>
        <v>0</v>
      </c>
      <c r="F10" s="21"/>
    </row>
    <row r="11" spans="1:27" ht="20" customHeight="1" x14ac:dyDescent="0.45">
      <c r="A11" s="24"/>
      <c r="B11" s="65" t="s">
        <v>60</v>
      </c>
      <c r="C11" s="66">
        <f>COUNTA('Controls Assessment'!F2:F100)-COUNTA('Controls Assessment'!K2:K100)</f>
        <v>38</v>
      </c>
      <c r="D11" s="67">
        <f>IFERROR((COUNTA('Controls Assessment'!F2:F100)-COUNTA('Controls Assessment'!K2:K100))/COUNTA('Controls Assessment'!F2:F100),0)</f>
        <v>1</v>
      </c>
      <c r="E11" s="67"/>
      <c r="F11" s="24"/>
    </row>
    <row r="12" spans="1:27" ht="20" customHeight="1" x14ac:dyDescent="0.45">
      <c r="A12" s="3"/>
      <c r="B12" s="68" t="s">
        <v>659</v>
      </c>
      <c r="C12" s="69">
        <f>COUNTA('Controls Assessment'!F2:F100)</f>
        <v>38</v>
      </c>
      <c r="D12" s="70">
        <f>COUNTA('Controls Assessment'!K2:K100)/COUNTA('Controls Assessment'!F2:F100)</f>
        <v>0</v>
      </c>
      <c r="E12" s="40"/>
      <c r="F12" s="3"/>
    </row>
    <row r="13" spans="1:27" ht="8" customHeight="1" x14ac:dyDescent="0.45">
      <c r="A13" s="1"/>
      <c r="B13" s="1"/>
      <c r="C13" s="1"/>
      <c r="D13" s="1"/>
      <c r="E13" s="1"/>
      <c r="F13" s="1"/>
    </row>
    <row r="14" spans="1:27" ht="20" customHeight="1" x14ac:dyDescent="0.45">
      <c r="A14" s="3"/>
      <c r="B14" s="137" t="s">
        <v>660</v>
      </c>
      <c r="C14" s="127"/>
      <c r="D14" s="127"/>
      <c r="E14" s="127"/>
      <c r="F14" s="3"/>
    </row>
    <row r="15" spans="1:27" ht="19.05" customHeight="1" x14ac:dyDescent="0.45">
      <c r="A15" s="3"/>
      <c r="B15" s="40" t="s">
        <v>116</v>
      </c>
      <c r="C15" s="40" t="s">
        <v>659</v>
      </c>
      <c r="D15" s="40" t="s">
        <v>187</v>
      </c>
      <c r="E15" s="40" t="s">
        <v>661</v>
      </c>
      <c r="F15" s="3"/>
    </row>
    <row r="16" spans="1:27" ht="20" customHeight="1" x14ac:dyDescent="0.45">
      <c r="A16" s="71"/>
      <c r="B16" s="72" t="s">
        <v>317</v>
      </c>
      <c r="C16" s="73">
        <f>COUNTIF('Controls Assessment'!A2:A100,"Govern")</f>
        <v>9</v>
      </c>
      <c r="D16" s="73">
        <f>COUNTIFS('Controls Assessment'!A2:A100,"Govern",'Controls Assessment'!O2:O100,"PASS")</f>
        <v>0</v>
      </c>
      <c r="E16" s="73">
        <f>COUNTIFS('Controls Assessment'!A2:A100,"Govern",'Controls Assessment'!O2:O100,"PARTIAL")+COUNTIFS('Controls Assessment'!A2:A100,"Govern",'Controls Assessment'!O2:O100,"FAIL")</f>
        <v>0</v>
      </c>
      <c r="F16" s="71"/>
    </row>
    <row r="17" spans="1:6" ht="20" customHeight="1" x14ac:dyDescent="0.45">
      <c r="A17" s="74"/>
      <c r="B17" s="75" t="s">
        <v>401</v>
      </c>
      <c r="C17" s="76">
        <f>COUNTIF('Controls Assessment'!A2:A100,"Identify")</f>
        <v>6</v>
      </c>
      <c r="D17" s="76">
        <f>COUNTIFS('Controls Assessment'!A2:A100,"Identify",'Controls Assessment'!O2:O100,"PASS")</f>
        <v>0</v>
      </c>
      <c r="E17" s="76">
        <f>COUNTIFS('Controls Assessment'!A2:A100,"Identify",'Controls Assessment'!O2:O100,"PARTIAL")+COUNTIFS('Controls Assessment'!A2:A100,"Identify",'Controls Assessment'!O2:O100,"FAIL")</f>
        <v>0</v>
      </c>
      <c r="F17" s="74"/>
    </row>
    <row r="18" spans="1:6" ht="20" customHeight="1" x14ac:dyDescent="0.45">
      <c r="A18" s="77"/>
      <c r="B18" s="78" t="s">
        <v>455</v>
      </c>
      <c r="C18" s="79">
        <f>COUNTIF('Controls Assessment'!A2:A100,"Protect")</f>
        <v>7</v>
      </c>
      <c r="D18" s="79">
        <f>COUNTIFS('Controls Assessment'!A2:A100,"Protect",'Controls Assessment'!O2:O100,"PASS")</f>
        <v>0</v>
      </c>
      <c r="E18" s="79">
        <f>COUNTIFS('Controls Assessment'!A2:A100,"Protect",'Controls Assessment'!O2:O100,"PARTIAL")+COUNTIFS('Controls Assessment'!A2:A100,"Protect",'Controls Assessment'!O2:O100,"FAIL")</f>
        <v>0</v>
      </c>
      <c r="F18" s="77"/>
    </row>
    <row r="19" spans="1:6" ht="20" customHeight="1" x14ac:dyDescent="0.45">
      <c r="A19" s="18"/>
      <c r="B19" s="80" t="s">
        <v>516</v>
      </c>
      <c r="C19" s="81">
        <f>COUNTIF('Controls Assessment'!A2:A100,"Detect")</f>
        <v>5</v>
      </c>
      <c r="D19" s="81">
        <f>COUNTIFS('Controls Assessment'!A2:A100,"Detect",'Controls Assessment'!O2:O100,"PASS")</f>
        <v>0</v>
      </c>
      <c r="E19" s="81">
        <f>COUNTIFS('Controls Assessment'!A2:A100,"Detect",'Controls Assessment'!O2:O100,"PARTIAL")+COUNTIFS('Controls Assessment'!A2:A100,"Detect",'Controls Assessment'!O2:O100,"FAIL")</f>
        <v>0</v>
      </c>
      <c r="F19" s="18"/>
    </row>
    <row r="20" spans="1:6" ht="20" customHeight="1" x14ac:dyDescent="0.45">
      <c r="A20" s="82"/>
      <c r="B20" s="83" t="s">
        <v>560</v>
      </c>
      <c r="C20" s="84">
        <f>COUNTIF('Controls Assessment'!A2:A100,"Respond")</f>
        <v>5</v>
      </c>
      <c r="D20" s="84">
        <f>COUNTIFS('Controls Assessment'!A2:A100,"Respond",'Controls Assessment'!O2:O100,"PASS")</f>
        <v>0</v>
      </c>
      <c r="E20" s="84">
        <f>COUNTIFS('Controls Assessment'!A2:A100,"Respond",'Controls Assessment'!O2:O100,"PARTIAL")+COUNTIFS('Controls Assessment'!A2:A100,"Respond",'Controls Assessment'!O2:O100,"FAIL")</f>
        <v>0</v>
      </c>
      <c r="F20" s="82"/>
    </row>
    <row r="21" spans="1:6" ht="20" customHeight="1" x14ac:dyDescent="0.45">
      <c r="A21" s="85"/>
      <c r="B21" s="86" t="s">
        <v>603</v>
      </c>
      <c r="C21" s="87">
        <f>COUNTIF('Controls Assessment'!A2:A100,"Recover")</f>
        <v>6</v>
      </c>
      <c r="D21" s="87">
        <f>COUNTIFS('Controls Assessment'!A2:A100,"Recover",'Controls Assessment'!O2:O100,"PASS")</f>
        <v>0</v>
      </c>
      <c r="E21" s="87">
        <f>COUNTIFS('Controls Assessment'!A2:A100,"Recover",'Controls Assessment'!O2:O100,"PARTIAL")+COUNTIFS('Controls Assessment'!A2:A100,"Recover",'Controls Assessment'!O2:O100,"FAIL")</f>
        <v>0</v>
      </c>
      <c r="F21" s="85"/>
    </row>
    <row r="22" spans="1:6" ht="20" customHeight="1" x14ac:dyDescent="0.45">
      <c r="A22" s="3"/>
      <c r="B22" s="68" t="s">
        <v>662</v>
      </c>
      <c r="C22" s="40">
        <f>COUNTA('Controls Assessment'!F2:F100)</f>
        <v>38</v>
      </c>
      <c r="D22" s="40">
        <f>COUNTIF('Controls Assessment'!O2:O100,"PASS")</f>
        <v>0</v>
      </c>
      <c r="E22" s="40">
        <f>COUNTIF('Controls Assessment'!O2:O100,"PARTIAL")+COUNTIF('Controls Assessment'!O2:O100,"FAIL")</f>
        <v>0</v>
      </c>
      <c r="F22" s="3"/>
    </row>
    <row r="23" spans="1:6" ht="8" customHeight="1" x14ac:dyDescent="0.45">
      <c r="A23" s="1"/>
      <c r="B23" s="1"/>
      <c r="C23" s="1"/>
      <c r="D23" s="1"/>
      <c r="E23" s="1"/>
      <c r="F23" s="1"/>
    </row>
    <row r="24" spans="1:6" ht="20" customHeight="1" x14ac:dyDescent="0.45">
      <c r="A24" s="3"/>
      <c r="B24" s="137" t="s">
        <v>663</v>
      </c>
      <c r="C24" s="127"/>
      <c r="D24" s="127"/>
      <c r="E24" s="127"/>
      <c r="F24" s="3"/>
    </row>
    <row r="25" spans="1:6" ht="19.05" customHeight="1" x14ac:dyDescent="0.45">
      <c r="A25" s="3"/>
      <c r="B25" s="40" t="s">
        <v>664</v>
      </c>
      <c r="C25" s="40" t="s">
        <v>665</v>
      </c>
      <c r="D25" s="40" t="s">
        <v>666</v>
      </c>
      <c r="E25" s="40" t="s">
        <v>667</v>
      </c>
      <c r="F25" s="3"/>
    </row>
    <row r="26" spans="1:6" ht="34.049999999999997" customHeight="1" x14ac:dyDescent="0.45">
      <c r="A26" s="8"/>
      <c r="B26" s="88" t="s">
        <v>668</v>
      </c>
      <c r="C26" s="89">
        <f>COUNTA('Controls Assessment'!K2:K100)</f>
        <v>0</v>
      </c>
      <c r="D26" s="89">
        <f>COUNTA('Controls Assessment'!F2:F100)-COUNTA('Controls Assessment'!K2:K100)</f>
        <v>38</v>
      </c>
      <c r="E26" s="90">
        <f>IFERROR(COUNTA('Controls Assessment'!K2:K100)/COUNTA('Controls Assessment'!F2:F100),0)</f>
        <v>0</v>
      </c>
      <c r="F26" s="8"/>
    </row>
    <row r="27" spans="1:6" ht="34.049999999999997" customHeight="1" x14ac:dyDescent="0.45">
      <c r="A27" s="5"/>
      <c r="B27" s="91" t="s">
        <v>669</v>
      </c>
      <c r="C27" s="92">
        <f>COUNTA('Controls Assessment'!P2:P100)</f>
        <v>0</v>
      </c>
      <c r="D27" s="92">
        <f>COUNTA('Controls Assessment'!F2:F100)-COUNTA('Controls Assessment'!P2:P100)</f>
        <v>38</v>
      </c>
      <c r="E27" s="93">
        <f>IFERROR(COUNTA('Controls Assessment'!P2:P100)/COUNTA('Controls Assessment'!F2:F100),0)</f>
        <v>0</v>
      </c>
      <c r="F27" s="5"/>
    </row>
    <row r="28" spans="1:6" ht="49.05" customHeight="1" x14ac:dyDescent="0.45">
      <c r="A28" s="8"/>
      <c r="B28" s="88" t="s">
        <v>670</v>
      </c>
      <c r="C28" s="89">
        <f>COUNTA('Controls Assessment'!V2:V100)</f>
        <v>0</v>
      </c>
      <c r="D28" s="89">
        <f>COUNTA('Controls Assessment'!F2:F100)-COUNTA('Controls Assessment'!V2:V100)</f>
        <v>38</v>
      </c>
      <c r="E28" s="90">
        <f>IFERROR(COUNTA('Controls Assessment'!V2:V100)/COUNTA('Controls Assessment'!F2:F100),0)</f>
        <v>0</v>
      </c>
      <c r="F28" s="8"/>
    </row>
    <row r="29" spans="1:6" ht="8" customHeight="1" x14ac:dyDescent="0.45">
      <c r="A29" s="1"/>
      <c r="B29" s="1"/>
      <c r="C29" s="1"/>
      <c r="D29" s="1"/>
      <c r="E29" s="1"/>
      <c r="F29" s="1"/>
    </row>
    <row r="30" spans="1:6" ht="20" customHeight="1" x14ac:dyDescent="0.45">
      <c r="A30" s="3"/>
      <c r="B30" s="137" t="s">
        <v>671</v>
      </c>
      <c r="C30" s="127"/>
      <c r="D30" s="127"/>
      <c r="E30" s="127"/>
      <c r="F30" s="3"/>
    </row>
    <row r="31" spans="1:6" ht="19.05" customHeight="1" x14ac:dyDescent="0.45">
      <c r="A31" s="3"/>
      <c r="B31" s="40" t="s">
        <v>672</v>
      </c>
      <c r="C31" s="40" t="s">
        <v>673</v>
      </c>
      <c r="D31" s="40" t="s">
        <v>674</v>
      </c>
      <c r="E31" s="40"/>
      <c r="F31" s="3"/>
    </row>
    <row r="32" spans="1:6" ht="34.049999999999997" customHeight="1" x14ac:dyDescent="0.45">
      <c r="A32" s="5"/>
      <c r="B32" s="36" t="s">
        <v>675</v>
      </c>
      <c r="C32" s="94">
        <f>COUNTA('Controls Assessment'!S2:S100)</f>
        <v>0</v>
      </c>
      <c r="D32" s="93">
        <f>IFERROR(COUNTA('Controls Assessment'!S2:S100)/COUNTA('Controls Assessment'!F2:F100),0)</f>
        <v>0</v>
      </c>
      <c r="E32" s="94"/>
      <c r="F32" s="5"/>
    </row>
    <row r="33" spans="1:6" ht="34.049999999999997" customHeight="1" x14ac:dyDescent="0.45">
      <c r="A33" s="8"/>
      <c r="B33" s="39" t="s">
        <v>676</v>
      </c>
      <c r="C33" s="95">
        <f>COUNTA('Controls Assessment'!F2:F100)-COUNTA('Controls Assessment'!S2:S100)</f>
        <v>38</v>
      </c>
      <c r="D33" s="95"/>
      <c r="E33" s="95"/>
      <c r="F33" s="8"/>
    </row>
    <row r="34" spans="1:6" ht="20" customHeight="1" x14ac:dyDescent="0.45">
      <c r="A34" s="5"/>
      <c r="B34" s="36" t="s">
        <v>677</v>
      </c>
      <c r="C34" s="94">
        <f>COUNTA('Controls Assessment'!F2:F100)</f>
        <v>38</v>
      </c>
      <c r="D34" s="94"/>
      <c r="E34" s="94"/>
      <c r="F34" s="5"/>
    </row>
    <row r="35" spans="1:6" ht="8" customHeight="1" x14ac:dyDescent="0.45">
      <c r="A35" s="1"/>
      <c r="B35" s="1"/>
      <c r="C35" s="1"/>
      <c r="D35" s="1"/>
      <c r="E35" s="1"/>
      <c r="F35" s="1"/>
    </row>
    <row r="36" spans="1:6" ht="20" customHeight="1" x14ac:dyDescent="0.45">
      <c r="A36" s="3"/>
      <c r="B36" s="137" t="s">
        <v>678</v>
      </c>
      <c r="C36" s="127"/>
      <c r="D36" s="127"/>
      <c r="E36" s="127"/>
      <c r="F36" s="3"/>
    </row>
    <row r="37" spans="1:6" ht="19.05" customHeight="1" x14ac:dyDescent="0.45">
      <c r="A37" s="3"/>
      <c r="B37" s="40" t="s">
        <v>679</v>
      </c>
      <c r="C37" s="40" t="s">
        <v>680</v>
      </c>
      <c r="D37" s="40" t="s">
        <v>657</v>
      </c>
      <c r="E37" s="40"/>
      <c r="F37" s="3"/>
    </row>
    <row r="38" spans="1:6" ht="20" customHeight="1" x14ac:dyDescent="0.45">
      <c r="A38" s="8"/>
      <c r="B38" s="39" t="s">
        <v>411</v>
      </c>
      <c r="C38" s="95">
        <f>COUNTIF('Controls Assessment'!R2:R100,"IT Operations")</f>
        <v>18</v>
      </c>
      <c r="D38" s="90">
        <f>IFERROR(COUNTIF('Controls Assessment'!R2:R100,"IT Operations")/COUNTA('Controls Assessment'!F2:F100),0)</f>
        <v>0.47368421052631576</v>
      </c>
      <c r="E38" s="95"/>
      <c r="F38" s="8"/>
    </row>
    <row r="39" spans="1:6" ht="34.049999999999997" customHeight="1" x14ac:dyDescent="0.45">
      <c r="A39" s="5"/>
      <c r="B39" s="36" t="s">
        <v>328</v>
      </c>
      <c r="C39" s="94">
        <f>COUNTIF('Controls Assessment'!R2:R100,"Leadership and Ownership")</f>
        <v>11</v>
      </c>
      <c r="D39" s="93">
        <f>IFERROR(COUNTIF('Controls Assessment'!R2:R100,"Leadership and Ownership")/COUNTA('Controls Assessment'!F2:F100),0)</f>
        <v>0.28947368421052633</v>
      </c>
      <c r="E39" s="94"/>
      <c r="F39" s="5"/>
    </row>
    <row r="40" spans="1:6" ht="34.049999999999997" customHeight="1" x14ac:dyDescent="0.45">
      <c r="A40" s="8"/>
      <c r="B40" s="39" t="s">
        <v>337</v>
      </c>
      <c r="C40" s="95">
        <f>COUNTIF('Controls Assessment'!R2:R100,"Legal and Compliance")</f>
        <v>2</v>
      </c>
      <c r="D40" s="90">
        <f>IFERROR(COUNTIF('Controls Assessment'!R2:R100,"Legal and Compliance")/COUNTA('Controls Assessment'!F2:F100),0)</f>
        <v>5.2631578947368418E-2</v>
      </c>
      <c r="E40" s="95"/>
      <c r="F40" s="8"/>
    </row>
    <row r="41" spans="1:6" ht="20" customHeight="1" x14ac:dyDescent="0.45">
      <c r="A41" s="5"/>
      <c r="B41" s="36" t="s">
        <v>383</v>
      </c>
      <c r="C41" s="94">
        <f>COUNTIF('Controls Assessment'!R2:R100,"Risk Management")</f>
        <v>3</v>
      </c>
      <c r="D41" s="93">
        <f>IFERROR(COUNTIF('Controls Assessment'!R2:R100,"Risk Management")/COUNTA('Controls Assessment'!F2:F100),0)</f>
        <v>7.8947368421052627E-2</v>
      </c>
      <c r="E41" s="94"/>
      <c r="F41" s="5"/>
    </row>
    <row r="42" spans="1:6" ht="20" customHeight="1" x14ac:dyDescent="0.45">
      <c r="A42" s="8"/>
      <c r="B42" s="39" t="s">
        <v>454</v>
      </c>
      <c r="C42" s="95">
        <f>COUNTIF('Controls Assessment'!R2:R100,"Human Resources")</f>
        <v>2</v>
      </c>
      <c r="D42" s="90">
        <f>IFERROR(COUNTIF('Controls Assessment'!R2:R100,"Human Resources")/COUNTA('Controls Assessment'!F2:F100),0)</f>
        <v>5.2631578947368418E-2</v>
      </c>
      <c r="E42" s="95"/>
      <c r="F42" s="8"/>
    </row>
    <row r="43" spans="1:6" ht="34.049999999999997" customHeight="1" x14ac:dyDescent="0.45">
      <c r="A43" s="5"/>
      <c r="B43" s="36" t="s">
        <v>374</v>
      </c>
      <c r="C43" s="94">
        <f>COUNTIF('Controls Assessment'!R2:R100,"Procurement and Vendor Management")</f>
        <v>1</v>
      </c>
      <c r="D43" s="93">
        <f>IFERROR(COUNTIF('Controls Assessment'!R2:R100,"Procurement and Vendor Management")/COUNTA('Controls Assessment'!F2:F100),0)</f>
        <v>2.6315789473684209E-2</v>
      </c>
      <c r="E43" s="94"/>
      <c r="F43" s="5"/>
    </row>
    <row r="44" spans="1:6" ht="34.049999999999997" customHeight="1" x14ac:dyDescent="0.45">
      <c r="A44" s="8"/>
      <c r="B44" s="39" t="s">
        <v>542</v>
      </c>
      <c r="C44" s="95">
        <f>COUNTIF('Controls Assessment'!R2:R100,"Facilities and Physical Security")</f>
        <v>1</v>
      </c>
      <c r="D44" s="90">
        <f>IFERROR(COUNTIF('Controls Assessment'!R2:R100,"Facilities and Physical Security")/COUNTA('Controls Assessment'!F2:F100),0)</f>
        <v>2.6315789473684209E-2</v>
      </c>
      <c r="E44" s="95"/>
      <c r="F44" s="8"/>
    </row>
    <row r="45" spans="1:6" ht="8" customHeight="1" x14ac:dyDescent="0.45">
      <c r="A45" s="1"/>
      <c r="B45" s="1"/>
      <c r="C45" s="1"/>
      <c r="D45" s="1"/>
      <c r="E45" s="1"/>
      <c r="F45" s="1"/>
    </row>
    <row r="46" spans="1:6" ht="20" customHeight="1" x14ac:dyDescent="0.45">
      <c r="A46" s="3"/>
      <c r="B46" s="137" t="s">
        <v>681</v>
      </c>
      <c r="C46" s="127"/>
      <c r="D46" s="127"/>
      <c r="E46" s="127"/>
      <c r="F46" s="3"/>
    </row>
    <row r="47" spans="1:6" ht="19.05" customHeight="1" x14ac:dyDescent="0.45">
      <c r="A47" s="3"/>
      <c r="B47" s="40" t="s">
        <v>116</v>
      </c>
      <c r="C47" s="40" t="s">
        <v>682</v>
      </c>
      <c r="D47" s="40" t="s">
        <v>134</v>
      </c>
      <c r="E47" s="40" t="s">
        <v>40</v>
      </c>
      <c r="F47" s="3"/>
    </row>
    <row r="48" spans="1:6" ht="25.5" x14ac:dyDescent="0.45">
      <c r="A48" s="8"/>
      <c r="B48" s="88" t="str">
        <f>'Controls Assessment'!A2</f>
        <v>Govern</v>
      </c>
      <c r="C48" s="88" t="str">
        <f>'Controls Assessment'!F2</f>
        <v>GV.OC-01-M1</v>
      </c>
      <c r="D48" s="88" t="str">
        <f>'Controls Assessment'!G2</f>
        <v>Mission and Cyber Risk Alignment</v>
      </c>
      <c r="E48" s="96" t="str">
        <f>'Controls Assessment'!O2</f>
        <v>Not Assessed</v>
      </c>
      <c r="F48" s="8"/>
    </row>
    <row r="49" spans="1:6" ht="25.5" x14ac:dyDescent="0.45">
      <c r="A49" s="5"/>
      <c r="B49" s="91" t="str">
        <f>'Controls Assessment'!A3</f>
        <v>Govern</v>
      </c>
      <c r="C49" s="91" t="str">
        <f>'Controls Assessment'!F3</f>
        <v>GV.OC-03-M1</v>
      </c>
      <c r="D49" s="91" t="str">
        <f>'Controls Assessment'!G3</f>
        <v>Legal and Regulatory Requirements</v>
      </c>
      <c r="E49" s="97" t="str">
        <f>'Controls Assessment'!O3</f>
        <v>Not Assessed</v>
      </c>
      <c r="F49" s="5"/>
    </row>
    <row r="50" spans="1:6" ht="25.5" x14ac:dyDescent="0.45">
      <c r="A50" s="8"/>
      <c r="B50" s="88" t="str">
        <f>'Controls Assessment'!A4</f>
        <v>Govern</v>
      </c>
      <c r="C50" s="88" t="str">
        <f>'Controls Assessment'!F4</f>
        <v>GV.RR-02-M1</v>
      </c>
      <c r="D50" s="88" t="str">
        <f>'Controls Assessment'!G4</f>
        <v>Cybersecurity Roles and Responsibilities</v>
      </c>
      <c r="E50" s="96" t="str">
        <f>'Controls Assessment'!O4</f>
        <v>Not Assessed</v>
      </c>
      <c r="F50" s="8"/>
    </row>
    <row r="51" spans="1:6" ht="25.5" x14ac:dyDescent="0.45">
      <c r="A51" s="5"/>
      <c r="B51" s="91" t="str">
        <f>'Controls Assessment'!A5</f>
        <v>Govern</v>
      </c>
      <c r="C51" s="91" t="str">
        <f>'Controls Assessment'!F5</f>
        <v>GV.OC-04-M1</v>
      </c>
      <c r="D51" s="91" t="str">
        <f>'Controls Assessment'!G5</f>
        <v>Critical Asset Impact Assessment</v>
      </c>
      <c r="E51" s="97" t="str">
        <f>'Controls Assessment'!O5</f>
        <v>Not Assessed</v>
      </c>
      <c r="F51" s="5"/>
    </row>
    <row r="52" spans="1:6" x14ac:dyDescent="0.45">
      <c r="A52" s="8"/>
      <c r="B52" s="88" t="str">
        <f>'Controls Assessment'!A6</f>
        <v>Govern</v>
      </c>
      <c r="C52" s="88" t="str">
        <f>'Controls Assessment'!F6</f>
        <v>GV.RM-04-M1</v>
      </c>
      <c r="D52" s="88" t="str">
        <f>'Controls Assessment'!G6</f>
        <v>Cyber Insurance Evaluation</v>
      </c>
      <c r="E52" s="96" t="str">
        <f>'Controls Assessment'!O6</f>
        <v>Not Assessed</v>
      </c>
      <c r="F52" s="8"/>
    </row>
    <row r="53" spans="1:6" ht="25.5" x14ac:dyDescent="0.45">
      <c r="A53" s="5"/>
      <c r="B53" s="91" t="str">
        <f>'Controls Assessment'!A7</f>
        <v>Govern</v>
      </c>
      <c r="C53" s="91" t="str">
        <f>'Controls Assessment'!F7</f>
        <v>GV.SC-06-M1</v>
      </c>
      <c r="D53" s="91" t="str">
        <f>'Controls Assessment'!G7</f>
        <v>Supplier Cyber Risk Due Diligence</v>
      </c>
      <c r="E53" s="97" t="str">
        <f>'Controls Assessment'!O7</f>
        <v>Not Assessed</v>
      </c>
      <c r="F53" s="5"/>
    </row>
    <row r="54" spans="1:6" ht="18" customHeight="1" x14ac:dyDescent="0.45">
      <c r="A54" s="8"/>
      <c r="B54" s="88" t="str">
        <f>'Controls Assessment'!A8</f>
        <v>Govern</v>
      </c>
      <c r="C54" s="88" t="str">
        <f>'Controls Assessment'!F8</f>
        <v>GV.RM-03-M1</v>
      </c>
      <c r="D54" s="88" t="str">
        <f>'Controls Assessment'!G8</f>
        <v>Enterprise Risk Integration</v>
      </c>
      <c r="E54" s="96" t="str">
        <f>'Controls Assessment'!O8</f>
        <v>Not Assessed</v>
      </c>
      <c r="F54" s="8"/>
    </row>
    <row r="55" spans="1:6" ht="25.5" x14ac:dyDescent="0.45">
      <c r="A55" s="5"/>
      <c r="B55" s="91" t="str">
        <f>'Controls Assessment'!A9</f>
        <v>Govern</v>
      </c>
      <c r="C55" s="91" t="str">
        <f>'Controls Assessment'!F9</f>
        <v>GV.RR-01-M1</v>
      </c>
      <c r="D55" s="91" t="str">
        <f>'Controls Assessment'!G9</f>
        <v>Leadership Cybersecurity Culture</v>
      </c>
      <c r="E55" s="97" t="str">
        <f>'Controls Assessment'!O9</f>
        <v>Not Assessed</v>
      </c>
      <c r="F55" s="5"/>
    </row>
    <row r="56" spans="1:6" ht="18" customHeight="1" x14ac:dyDescent="0.45">
      <c r="A56" s="8"/>
      <c r="B56" s="88" t="str">
        <f>'Controls Assessment'!A10</f>
        <v>Govern</v>
      </c>
      <c r="C56" s="88" t="str">
        <f>'Controls Assessment'!F10</f>
        <v>GV.PO-01-M1</v>
      </c>
      <c r="D56" s="88" t="str">
        <f>'Controls Assessment'!G10</f>
        <v>Cybersecurity Policy</v>
      </c>
      <c r="E56" s="96" t="str">
        <f>'Controls Assessment'!O10</f>
        <v>Not Assessed</v>
      </c>
      <c r="F56" s="8"/>
    </row>
    <row r="57" spans="1:6" ht="18" customHeight="1" x14ac:dyDescent="0.45">
      <c r="A57" s="5"/>
      <c r="B57" s="91" t="str">
        <f>'Controls Assessment'!A11</f>
        <v>Identify</v>
      </c>
      <c r="C57" s="91" t="str">
        <f>'Controls Assessment'!F11</f>
        <v>ID.AM-01-M1</v>
      </c>
      <c r="D57" s="91" t="str">
        <f>'Controls Assessment'!G11</f>
        <v>Asset Inventory</v>
      </c>
      <c r="E57" s="97" t="str">
        <f>'Controls Assessment'!O11</f>
        <v>Not Assessed</v>
      </c>
      <c r="F57" s="5"/>
    </row>
    <row r="58" spans="1:6" ht="18" customHeight="1" x14ac:dyDescent="0.45">
      <c r="A58" s="8"/>
      <c r="B58" s="88" t="str">
        <f>'Controls Assessment'!A12</f>
        <v>Identify</v>
      </c>
      <c r="C58" s="88" t="str">
        <f>'Controls Assessment'!F12</f>
        <v>ID.RA-01-M1</v>
      </c>
      <c r="D58" s="88" t="str">
        <f>'Controls Assessment'!G12</f>
        <v>Vulnerability Identification</v>
      </c>
      <c r="E58" s="96" t="str">
        <f>'Controls Assessment'!O12</f>
        <v>Not Assessed</v>
      </c>
      <c r="F58" s="8"/>
    </row>
    <row r="59" spans="1:6" ht="25.5" x14ac:dyDescent="0.45">
      <c r="A59" s="5"/>
      <c r="B59" s="91" t="str">
        <f>'Controls Assessment'!A13</f>
        <v>Identify</v>
      </c>
      <c r="C59" s="91" t="str">
        <f>'Controls Assessment'!F13</f>
        <v>ID.IM-01-M1</v>
      </c>
      <c r="D59" s="91" t="str">
        <f>'Controls Assessment'!G13</f>
        <v>Cybersecurity Program Effectiveness</v>
      </c>
      <c r="E59" s="97" t="str">
        <f>'Controls Assessment'!O13</f>
        <v>Not Assessed</v>
      </c>
      <c r="F59" s="5"/>
    </row>
    <row r="60" spans="1:6" ht="25.5" x14ac:dyDescent="0.45">
      <c r="A60" s="8"/>
      <c r="B60" s="88" t="str">
        <f>'Controls Assessment'!A14</f>
        <v>Identify</v>
      </c>
      <c r="C60" s="88" t="str">
        <f>'Controls Assessment'!F14</f>
        <v>ID.AM-07-M1</v>
      </c>
      <c r="D60" s="88" t="str">
        <f>'Controls Assessment'!G14</f>
        <v>Data Inventory and Classification</v>
      </c>
      <c r="E60" s="96" t="str">
        <f>'Controls Assessment'!O14</f>
        <v>Not Assessed</v>
      </c>
      <c r="F60" s="8"/>
    </row>
    <row r="61" spans="1:6" ht="18" customHeight="1" x14ac:dyDescent="0.45">
      <c r="A61" s="5"/>
      <c r="B61" s="91" t="str">
        <f>'Controls Assessment'!A15</f>
        <v>Identify</v>
      </c>
      <c r="C61" s="91" t="str">
        <f>'Controls Assessment'!F15</f>
        <v>ID.RA-05-M1</v>
      </c>
      <c r="D61" s="91" t="str">
        <f>'Controls Assessment'!G15</f>
        <v>Threat and Risk Register</v>
      </c>
      <c r="E61" s="97" t="str">
        <f>'Controls Assessment'!O15</f>
        <v>Not Assessed</v>
      </c>
      <c r="F61" s="5"/>
    </row>
    <row r="62" spans="1:6" ht="25.5" x14ac:dyDescent="0.45">
      <c r="A62" s="8"/>
      <c r="B62" s="88" t="str">
        <f>'Controls Assessment'!A16</f>
        <v>Identify</v>
      </c>
      <c r="C62" s="88" t="str">
        <f>'Controls Assessment'!F16</f>
        <v>ID.IM-04-M1</v>
      </c>
      <c r="D62" s="88" t="str">
        <f>'Controls Assessment'!G16</f>
        <v>Cybersecurity Communication to Staff</v>
      </c>
      <c r="E62" s="96" t="str">
        <f>'Controls Assessment'!O16</f>
        <v>Not Assessed</v>
      </c>
      <c r="F62" s="8"/>
    </row>
    <row r="63" spans="1:6" ht="25.5" x14ac:dyDescent="0.45">
      <c r="A63" s="5"/>
      <c r="B63" s="91" t="str">
        <f>'Controls Assessment'!A17</f>
        <v>Protect</v>
      </c>
      <c r="C63" s="91" t="str">
        <f>'Controls Assessment'!F17</f>
        <v>PR.AA-05-M1</v>
      </c>
      <c r="D63" s="91" t="str">
        <f>'Controls Assessment'!G17</f>
        <v>Access Control and Least Privilege</v>
      </c>
      <c r="E63" s="97" t="str">
        <f>'Controls Assessment'!O17</f>
        <v>Not Assessed</v>
      </c>
      <c r="F63" s="5"/>
    </row>
    <row r="64" spans="1:6" ht="18" customHeight="1" x14ac:dyDescent="0.45">
      <c r="A64" s="8"/>
      <c r="B64" s="88" t="str">
        <f>'Controls Assessment'!A18</f>
        <v>Protect</v>
      </c>
      <c r="C64" s="88" t="str">
        <f>'Controls Assessment'!F18</f>
        <v>PR.AT-01-M1</v>
      </c>
      <c r="D64" s="88" t="str">
        <f>'Controls Assessment'!G18</f>
        <v>Security Awareness Training</v>
      </c>
      <c r="E64" s="96" t="str">
        <f>'Controls Assessment'!O18</f>
        <v>Not Assessed</v>
      </c>
      <c r="F64" s="8"/>
    </row>
    <row r="65" spans="1:6" x14ac:dyDescent="0.45">
      <c r="A65" s="5"/>
      <c r="B65" s="91" t="str">
        <f>'Controls Assessment'!A19</f>
        <v>Protect</v>
      </c>
      <c r="C65" s="91" t="str">
        <f>'Controls Assessment'!F19</f>
        <v>PR.AA-03-M1</v>
      </c>
      <c r="D65" s="91" t="str">
        <f>'Controls Assessment'!G19</f>
        <v>Multi-Factor Authentication</v>
      </c>
      <c r="E65" s="97" t="str">
        <f>'Controls Assessment'!O19</f>
        <v>Not Assessed</v>
      </c>
      <c r="F65" s="5"/>
    </row>
    <row r="66" spans="1:6" ht="25.5" x14ac:dyDescent="0.45">
      <c r="A66" s="8"/>
      <c r="B66" s="88" t="str">
        <f>'Controls Assessment'!A20</f>
        <v>Protect</v>
      </c>
      <c r="C66" s="88" t="str">
        <f>'Controls Assessment'!F20</f>
        <v>PR.AA-01-M1</v>
      </c>
      <c r="D66" s="88" t="str">
        <f>'Controls Assessment'!G20</f>
        <v>Credential and Password Management</v>
      </c>
      <c r="E66" s="96" t="str">
        <f>'Controls Assessment'!O20</f>
        <v>Not Assessed</v>
      </c>
      <c r="F66" s="8"/>
    </row>
    <row r="67" spans="1:6" ht="18" customHeight="1" x14ac:dyDescent="0.45">
      <c r="A67" s="5"/>
      <c r="B67" s="91" t="str">
        <f>'Controls Assessment'!A21</f>
        <v>Protect</v>
      </c>
      <c r="C67" s="91" t="str">
        <f>'Controls Assessment'!F21</f>
        <v>PR.PS-02-M1</v>
      </c>
      <c r="D67" s="91" t="str">
        <f>'Controls Assessment'!G21</f>
        <v>Software Patching and Updates</v>
      </c>
      <c r="E67" s="97" t="str">
        <f>'Controls Assessment'!O21</f>
        <v>Not Assessed</v>
      </c>
      <c r="F67" s="5"/>
    </row>
    <row r="68" spans="1:6" ht="25.5" x14ac:dyDescent="0.45">
      <c r="A68" s="8"/>
      <c r="B68" s="88" t="str">
        <f>'Controls Assessment'!A22</f>
        <v>Protect</v>
      </c>
      <c r="C68" s="88" t="str">
        <f>'Controls Assessment'!F22</f>
        <v>PR.DS-11-M1</v>
      </c>
      <c r="D68" s="88" t="str">
        <f>'Controls Assessment'!G22</f>
        <v>Data Backup and Recovery Testing</v>
      </c>
      <c r="E68" s="96" t="str">
        <f>'Controls Assessment'!O22</f>
        <v>Not Assessed</v>
      </c>
      <c r="F68" s="8"/>
    </row>
    <row r="69" spans="1:6" ht="18" customHeight="1" x14ac:dyDescent="0.45">
      <c r="A69" s="5"/>
      <c r="B69" s="91" t="str">
        <f>'Controls Assessment'!A23</f>
        <v>Protect</v>
      </c>
      <c r="C69" s="91" t="str">
        <f>'Controls Assessment'!F23</f>
        <v>PR.DS-01-M1</v>
      </c>
      <c r="D69" s="91" t="str">
        <f>'Controls Assessment'!G23</f>
        <v>Device Encryption</v>
      </c>
      <c r="E69" s="97" t="str">
        <f>'Controls Assessment'!O23</f>
        <v>Not Assessed</v>
      </c>
      <c r="F69" s="5"/>
    </row>
    <row r="70" spans="1:6" ht="18" customHeight="1" x14ac:dyDescent="0.45">
      <c r="A70" s="8"/>
      <c r="B70" s="88" t="str">
        <f>'Controls Assessment'!A24</f>
        <v>Detect</v>
      </c>
      <c r="C70" s="88" t="str">
        <f>'Controls Assessment'!F24</f>
        <v>DE.CM-01-M1</v>
      </c>
      <c r="D70" s="88" t="str">
        <f>'Controls Assessment'!G24</f>
        <v>Incident Indicator Awareness</v>
      </c>
      <c r="E70" s="96" t="str">
        <f>'Controls Assessment'!O24</f>
        <v>Not Assessed</v>
      </c>
      <c r="F70" s="8"/>
    </row>
    <row r="71" spans="1:6" ht="25.5" x14ac:dyDescent="0.45">
      <c r="A71" s="5"/>
      <c r="B71" s="91" t="str">
        <f>'Controls Assessment'!A25</f>
        <v>Detect</v>
      </c>
      <c r="C71" s="91" t="str">
        <f>'Controls Assessment'!F25</f>
        <v>DE.CM-06-M1</v>
      </c>
      <c r="D71" s="91" t="str">
        <f>'Controls Assessment'!G25</f>
        <v>Technology and Services Monitoring</v>
      </c>
      <c r="E71" s="97" t="str">
        <f>'Controls Assessment'!O25</f>
        <v>Not Assessed</v>
      </c>
      <c r="F71" s="5"/>
    </row>
    <row r="72" spans="1:6" ht="18" customHeight="1" x14ac:dyDescent="0.45">
      <c r="A72" s="8"/>
      <c r="B72" s="88" t="str">
        <f>'Controls Assessment'!A26</f>
        <v>Detect</v>
      </c>
      <c r="C72" s="88" t="str">
        <f>'Controls Assessment'!F26</f>
        <v>DE.CM-02-M1</v>
      </c>
      <c r="D72" s="88" t="str">
        <f>'Controls Assessment'!G26</f>
        <v>Physical Environment Monitoring</v>
      </c>
      <c r="E72" s="96" t="str">
        <f>'Controls Assessment'!O26</f>
        <v>Not Assessed</v>
      </c>
      <c r="F72" s="8"/>
    </row>
    <row r="73" spans="1:6" ht="18" customHeight="1" x14ac:dyDescent="0.45">
      <c r="A73" s="5"/>
      <c r="B73" s="91" t="str">
        <f>'Controls Assessment'!A27</f>
        <v>Detect</v>
      </c>
      <c r="C73" s="91" t="str">
        <f>'Controls Assessment'!F27</f>
        <v>DE.CM-09-M1</v>
      </c>
      <c r="D73" s="91" t="str">
        <f>'Controls Assessment'!G27</f>
        <v>Endpoint Protection</v>
      </c>
      <c r="E73" s="97" t="str">
        <f>'Controls Assessment'!O27</f>
        <v>Not Assessed</v>
      </c>
      <c r="F73" s="5"/>
    </row>
    <row r="74" spans="1:6" ht="25.5" x14ac:dyDescent="0.45">
      <c r="A74" s="8"/>
      <c r="B74" s="88" t="str">
        <f>'Controls Assessment'!A28</f>
        <v>Detect</v>
      </c>
      <c r="C74" s="88" t="str">
        <f>'Controls Assessment'!F28</f>
        <v>DE.AE-06-M1</v>
      </c>
      <c r="D74" s="88" t="str">
        <f>'Controls Assessment'!G28</f>
        <v>Incident Responder Communication and Analysis</v>
      </c>
      <c r="E74" s="96" t="str">
        <f>'Controls Assessment'!O28</f>
        <v>Not Assessed</v>
      </c>
      <c r="F74" s="8"/>
    </row>
    <row r="75" spans="1:6" ht="25.5" x14ac:dyDescent="0.45">
      <c r="A75" s="5"/>
      <c r="B75" s="91" t="str">
        <f>'Controls Assessment'!A29</f>
        <v>Respond</v>
      </c>
      <c r="C75" s="91" t="str">
        <f>'Controls Assessment'!F29</f>
        <v>RS.MA-01-M1</v>
      </c>
      <c r="D75" s="91" t="str">
        <f>'Controls Assessment'!G29</f>
        <v>Incident Response Plan Documentation</v>
      </c>
      <c r="E75" s="97" t="str">
        <f>'Controls Assessment'!O29</f>
        <v>Not Assessed</v>
      </c>
      <c r="F75" s="5"/>
    </row>
    <row r="76" spans="1:6" ht="25.5" x14ac:dyDescent="0.45">
      <c r="A76" s="8"/>
      <c r="B76" s="88" t="str">
        <f>'Controls Assessment'!A30</f>
        <v>Respond</v>
      </c>
      <c r="C76" s="88" t="str">
        <f>'Controls Assessment'!F30</f>
        <v>RS.MA-01-M2</v>
      </c>
      <c r="D76" s="88" t="str">
        <f>'Controls Assessment'!G30</f>
        <v>Incident Response Capability Testing</v>
      </c>
      <c r="E76" s="96" t="str">
        <f>'Controls Assessment'!O30</f>
        <v>Not Assessed</v>
      </c>
      <c r="F76" s="8"/>
    </row>
    <row r="77" spans="1:6" ht="25.5" x14ac:dyDescent="0.45">
      <c r="A77" s="5"/>
      <c r="B77" s="91" t="str">
        <f>'Controls Assessment'!A31</f>
        <v>Respond</v>
      </c>
      <c r="C77" s="91" t="str">
        <f>'Controls Assessment'!F31</f>
        <v>RS.AN-03-M1</v>
      </c>
      <c r="D77" s="91" t="str">
        <f>'Controls Assessment'!G31</f>
        <v>Incident Severity Analysis and Root Cause</v>
      </c>
      <c r="E77" s="97" t="str">
        <f>'Controls Assessment'!O31</f>
        <v>Not Assessed</v>
      </c>
      <c r="F77" s="5"/>
    </row>
    <row r="78" spans="1:6" ht="25.5" x14ac:dyDescent="0.45">
      <c r="A78" s="8"/>
      <c r="B78" s="88" t="str">
        <f>'Controls Assessment'!A32</f>
        <v>Respond</v>
      </c>
      <c r="C78" s="88" t="str">
        <f>'Controls Assessment'!F32</f>
        <v>RS.MI-01-M1</v>
      </c>
      <c r="D78" s="88" t="str">
        <f>'Controls Assessment'!G32</f>
        <v>Incident Containment and Eradication</v>
      </c>
      <c r="E78" s="96" t="str">
        <f>'Controls Assessment'!O32</f>
        <v>Not Assessed</v>
      </c>
      <c r="F78" s="8"/>
    </row>
    <row r="79" spans="1:6" ht="25.5" x14ac:dyDescent="0.45">
      <c r="A79" s="5"/>
      <c r="B79" s="91" t="str">
        <f>'Controls Assessment'!A33</f>
        <v>Respond</v>
      </c>
      <c r="C79" s="91" t="str">
        <f>'Controls Assessment'!F33</f>
        <v>RS.CO-02-M1</v>
      </c>
      <c r="D79" s="91" t="str">
        <f>'Controls Assessment'!G33</f>
        <v>Incident Stakeholder Notification</v>
      </c>
      <c r="E79" s="97" t="str">
        <f>'Controls Assessment'!O33</f>
        <v>Not Assessed</v>
      </c>
      <c r="F79" s="5"/>
    </row>
    <row r="80" spans="1:6" ht="25.5" x14ac:dyDescent="0.45">
      <c r="A80" s="8"/>
      <c r="B80" s="88" t="str">
        <f>'Controls Assessment'!A34</f>
        <v>Recover</v>
      </c>
      <c r="C80" s="88" t="str">
        <f>'Controls Assessment'!F34</f>
        <v>RC.RP-01-M1</v>
      </c>
      <c r="D80" s="88" t="str">
        <f>'Controls Assessment'!G34</f>
        <v>Recovery Responsibilities Definition</v>
      </c>
      <c r="E80" s="96" t="str">
        <f>'Controls Assessment'!O34</f>
        <v>Not Assessed</v>
      </c>
      <c r="F80" s="8"/>
    </row>
    <row r="81" spans="1:6" ht="18" customHeight="1" x14ac:dyDescent="0.45">
      <c r="A81" s="5"/>
      <c r="B81" s="91" t="str">
        <f>'Controls Assessment'!A35</f>
        <v>Recover</v>
      </c>
      <c r="C81" s="91" t="str">
        <f>'Controls Assessment'!F35</f>
        <v>RC.RP-06-M1</v>
      </c>
      <c r="D81" s="91" t="str">
        <f>'Controls Assessment'!G35</f>
        <v>After-Action Reporting</v>
      </c>
      <c r="E81" s="97" t="str">
        <f>'Controls Assessment'!O35</f>
        <v>Not Assessed</v>
      </c>
      <c r="F81" s="5"/>
    </row>
    <row r="82" spans="1:6" ht="18" customHeight="1" x14ac:dyDescent="0.45">
      <c r="A82" s="8"/>
      <c r="B82" s="88" t="str">
        <f>'Controls Assessment'!A36</f>
        <v>Recover</v>
      </c>
      <c r="C82" s="88" t="str">
        <f>'Controls Assessment'!F36</f>
        <v>RC.RP-03-M1</v>
      </c>
      <c r="D82" s="88" t="str">
        <f>'Controls Assessment'!G36</f>
        <v>Backup Integrity Verification</v>
      </c>
      <c r="E82" s="96" t="str">
        <f>'Controls Assessment'!O36</f>
        <v>Not Assessed</v>
      </c>
      <c r="F82" s="8"/>
    </row>
    <row r="83" spans="1:6" ht="18" customHeight="1" x14ac:dyDescent="0.45">
      <c r="A83" s="5"/>
      <c r="B83" s="91" t="str">
        <f>'Controls Assessment'!A37</f>
        <v>Recover</v>
      </c>
      <c r="C83" s="91" t="str">
        <f>'Controls Assessment'!F37</f>
        <v>RC.RP-02-M1</v>
      </c>
      <c r="D83" s="91" t="str">
        <f>'Controls Assessment'!G37</f>
        <v>Recovery Action Prioritisation</v>
      </c>
      <c r="E83" s="97" t="str">
        <f>'Controls Assessment'!O37</f>
        <v>Not Assessed</v>
      </c>
      <c r="F83" s="5"/>
    </row>
    <row r="84" spans="1:6" ht="25.5" x14ac:dyDescent="0.45">
      <c r="A84" s="8"/>
      <c r="B84" s="88" t="str">
        <f>'Controls Assessment'!A38</f>
        <v>Recover</v>
      </c>
      <c r="C84" s="88" t="str">
        <f>'Controls Assessment'!F38</f>
        <v>RC.CO-03-M1</v>
      </c>
      <c r="D84" s="88" t="str">
        <f>'Controls Assessment'!G38</f>
        <v>Recovery Progress Communication</v>
      </c>
      <c r="E84" s="96" t="str">
        <f>'Controls Assessment'!O38</f>
        <v>Not Assessed</v>
      </c>
      <c r="F84" s="8"/>
    </row>
    <row r="85" spans="1:6" ht="25.5" x14ac:dyDescent="0.45">
      <c r="A85" s="5"/>
      <c r="B85" s="91" t="str">
        <f>'Controls Assessment'!A39</f>
        <v>Recover</v>
      </c>
      <c r="C85" s="91" t="str">
        <f>'Controls Assessment'!F39</f>
        <v>RC.RP-06-M2</v>
      </c>
      <c r="D85" s="91" t="str">
        <f>'Controls Assessment'!G39</f>
        <v>Incident Closure and Resumption Declaration</v>
      </c>
      <c r="E85" s="97" t="str">
        <f>'Controls Assessment'!O39</f>
        <v>Not Assessed</v>
      </c>
      <c r="F85" s="5"/>
    </row>
    <row r="86" spans="1:6" ht="8" customHeight="1" x14ac:dyDescent="0.45">
      <c r="A86" s="1"/>
      <c r="B86" s="1"/>
      <c r="C86" s="1"/>
      <c r="D86" s="1"/>
      <c r="E86" s="1"/>
      <c r="F86" s="1"/>
    </row>
    <row r="87" spans="1:6" ht="34.049999999999997" customHeight="1" x14ac:dyDescent="0.45">
      <c r="A87" s="3"/>
      <c r="B87" s="129" t="s">
        <v>22</v>
      </c>
      <c r="C87" s="127"/>
      <c r="D87" s="127"/>
      <c r="E87" s="127"/>
      <c r="F87" s="3"/>
    </row>
  </sheetData>
  <mergeCells count="10">
    <mergeCell ref="B87:E87"/>
    <mergeCell ref="B3:E3"/>
    <mergeCell ref="B2:E2"/>
    <mergeCell ref="B24:E24"/>
    <mergeCell ref="B46:E46"/>
    <mergeCell ref="B36:E36"/>
    <mergeCell ref="B14:E14"/>
    <mergeCell ref="B4:E4"/>
    <mergeCell ref="B6:E6"/>
    <mergeCell ref="B30:E30"/>
  </mergeCells>
  <conditionalFormatting sqref="E48:E85">
    <cfRule type="expression" dxfId="16" priority="1">
      <formula>$E48="PASS"</formula>
    </cfRule>
    <cfRule type="expression" dxfId="15" priority="2">
      <formula>$E48="PARTIAL"</formula>
    </cfRule>
    <cfRule type="expression" dxfId="14" priority="3">
      <formula>$E48="FAIL"</formula>
    </cfRule>
    <cfRule type="expression" dxfId="13" priority="4">
      <formula>$E48="Not Assessed"</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66092"/>
  </sheetPr>
  <dimension ref="A1:AA88"/>
  <sheetViews>
    <sheetView showGridLines="0" zoomScale="80" workbookViewId="0">
      <pane xSplit="1" ySplit="18" topLeftCell="B19" activePane="bottomRight" state="frozen"/>
      <selection pane="topRight"/>
      <selection pane="bottomLeft"/>
      <selection pane="bottomRight" sqref="A1:XFD1"/>
    </sheetView>
  </sheetViews>
  <sheetFormatPr defaultRowHeight="14.25" x14ac:dyDescent="0.45"/>
  <cols>
    <col min="1" max="1" width="3" customWidth="1"/>
    <col min="2" max="2" width="18" customWidth="1"/>
    <col min="3" max="3" width="10" customWidth="1"/>
    <col min="4" max="4" width="22" customWidth="1"/>
    <col min="5" max="5" width="30" customWidth="1"/>
    <col min="6" max="6" width="26" customWidth="1"/>
    <col min="7" max="7" width="22" customWidth="1"/>
    <col min="8" max="8" width="16" customWidth="1"/>
    <col min="9" max="9" width="36" customWidth="1"/>
    <col min="10" max="10" width="30" customWidth="1"/>
    <col min="11" max="11" width="26" customWidth="1"/>
    <col min="12" max="12" width="4" customWidth="1"/>
    <col min="13" max="27" width="13" customWidth="1"/>
  </cols>
  <sheetData>
    <row r="1" spans="1:27" ht="1.05" customHeight="1" x14ac:dyDescent="0.45">
      <c r="A1" s="1"/>
      <c r="B1" s="1"/>
      <c r="C1" s="1"/>
      <c r="D1" s="1"/>
      <c r="E1" s="1"/>
      <c r="F1" s="1"/>
      <c r="G1" s="1"/>
      <c r="H1" s="1"/>
      <c r="I1" s="1"/>
      <c r="J1" s="1"/>
      <c r="K1" s="1"/>
      <c r="L1" s="1"/>
      <c r="AA1" s="2" t="s">
        <v>0</v>
      </c>
    </row>
    <row r="2" spans="1:27" ht="26" customHeight="1" x14ac:dyDescent="0.45">
      <c r="A2" s="3"/>
      <c r="B2" s="152" t="s">
        <v>683</v>
      </c>
      <c r="C2" s="127"/>
      <c r="D2" s="127"/>
      <c r="E2" s="127"/>
      <c r="F2" s="127"/>
      <c r="G2" s="127"/>
      <c r="H2" s="127"/>
      <c r="I2" s="127"/>
      <c r="J2" s="127"/>
      <c r="K2" s="127"/>
      <c r="L2" s="3"/>
    </row>
    <row r="3" spans="1:27" ht="20" customHeight="1" x14ac:dyDescent="0.45">
      <c r="A3" s="3"/>
      <c r="B3" s="137" t="s">
        <v>2</v>
      </c>
      <c r="C3" s="127"/>
      <c r="D3" s="127"/>
      <c r="E3" s="127"/>
      <c r="F3" s="127"/>
      <c r="G3" s="127"/>
      <c r="H3" s="127"/>
      <c r="I3" s="127"/>
      <c r="J3" s="127"/>
      <c r="K3" s="127"/>
      <c r="L3" s="3"/>
    </row>
    <row r="4" spans="1:27" ht="26" customHeight="1" x14ac:dyDescent="0.45">
      <c r="A4" s="4"/>
      <c r="B4" s="136" t="s">
        <v>684</v>
      </c>
      <c r="C4" s="127"/>
      <c r="D4" s="127"/>
      <c r="E4" s="127"/>
      <c r="F4" s="127"/>
      <c r="G4" s="127"/>
      <c r="H4" s="127"/>
      <c r="I4" s="127"/>
      <c r="J4" s="127"/>
      <c r="K4" s="127"/>
      <c r="L4" s="4"/>
    </row>
    <row r="5" spans="1:27" ht="6" customHeight="1" x14ac:dyDescent="0.45">
      <c r="A5" s="1"/>
      <c r="B5" s="1"/>
      <c r="C5" s="1"/>
      <c r="D5" s="1"/>
      <c r="E5" s="1"/>
      <c r="F5" s="1"/>
      <c r="G5" s="1"/>
      <c r="H5" s="1"/>
      <c r="I5" s="1"/>
      <c r="J5" s="1"/>
      <c r="K5" s="1"/>
      <c r="L5" s="1"/>
    </row>
    <row r="6" spans="1:27" ht="19.05" customHeight="1" x14ac:dyDescent="0.45">
      <c r="A6" s="3"/>
      <c r="B6" s="137" t="s">
        <v>685</v>
      </c>
      <c r="C6" s="127"/>
      <c r="D6" s="127"/>
      <c r="E6" s="127"/>
      <c r="F6" s="127"/>
      <c r="G6" s="127"/>
      <c r="H6" s="127"/>
      <c r="I6" s="127"/>
      <c r="J6" s="127"/>
      <c r="K6" s="127"/>
      <c r="L6" s="3"/>
    </row>
    <row r="7" spans="1:27" ht="22.05" customHeight="1" x14ac:dyDescent="0.45">
      <c r="A7" s="8"/>
      <c r="B7" s="39" t="s">
        <v>131</v>
      </c>
      <c r="C7" s="155" t="s">
        <v>686</v>
      </c>
      <c r="D7" s="143"/>
      <c r="E7" s="143"/>
      <c r="F7" s="143"/>
      <c r="G7" s="143"/>
      <c r="H7" s="143"/>
      <c r="I7" s="143"/>
      <c r="J7" s="143"/>
      <c r="K7" s="154"/>
      <c r="L7" s="8"/>
    </row>
    <row r="8" spans="1:27" ht="22.05" customHeight="1" x14ac:dyDescent="0.45">
      <c r="A8" s="5"/>
      <c r="B8" s="36" t="s">
        <v>687</v>
      </c>
      <c r="C8" s="153" t="s">
        <v>688</v>
      </c>
      <c r="D8" s="143"/>
      <c r="E8" s="143"/>
      <c r="F8" s="143"/>
      <c r="G8" s="143"/>
      <c r="H8" s="143"/>
      <c r="I8" s="143"/>
      <c r="J8" s="143"/>
      <c r="K8" s="154"/>
      <c r="L8" s="5"/>
    </row>
    <row r="9" spans="1:27" ht="22.05" customHeight="1" x14ac:dyDescent="0.45">
      <c r="A9" s="8"/>
      <c r="B9" s="39" t="s">
        <v>689</v>
      </c>
      <c r="C9" s="155" t="s">
        <v>690</v>
      </c>
      <c r="D9" s="143"/>
      <c r="E9" s="143"/>
      <c r="F9" s="143"/>
      <c r="G9" s="143"/>
      <c r="H9" s="143"/>
      <c r="I9" s="143"/>
      <c r="J9" s="143"/>
      <c r="K9" s="154"/>
      <c r="L9" s="8"/>
    </row>
    <row r="10" spans="1:27" ht="22.05" customHeight="1" x14ac:dyDescent="0.45">
      <c r="A10" s="5"/>
      <c r="B10" s="36" t="s">
        <v>691</v>
      </c>
      <c r="C10" s="153" t="s">
        <v>692</v>
      </c>
      <c r="D10" s="143"/>
      <c r="E10" s="143"/>
      <c r="F10" s="143"/>
      <c r="G10" s="143"/>
      <c r="H10" s="143"/>
      <c r="I10" s="143"/>
      <c r="J10" s="143"/>
      <c r="K10" s="154"/>
      <c r="L10" s="5"/>
    </row>
    <row r="11" spans="1:27" ht="22.05" customHeight="1" x14ac:dyDescent="0.45">
      <c r="A11" s="8"/>
      <c r="B11" s="39" t="s">
        <v>693</v>
      </c>
      <c r="C11" s="155" t="s">
        <v>694</v>
      </c>
      <c r="D11" s="143"/>
      <c r="E11" s="143"/>
      <c r="F11" s="143"/>
      <c r="G11" s="143"/>
      <c r="H11" s="143"/>
      <c r="I11" s="143"/>
      <c r="J11" s="143"/>
      <c r="K11" s="154"/>
      <c r="L11" s="8"/>
    </row>
    <row r="12" spans="1:27" ht="22.05" customHeight="1" x14ac:dyDescent="0.45">
      <c r="A12" s="5"/>
      <c r="B12" s="36" t="s">
        <v>695</v>
      </c>
      <c r="C12" s="153" t="s">
        <v>696</v>
      </c>
      <c r="D12" s="143"/>
      <c r="E12" s="143"/>
      <c r="F12" s="143"/>
      <c r="G12" s="143"/>
      <c r="H12" s="143"/>
      <c r="I12" s="143"/>
      <c r="J12" s="143"/>
      <c r="K12" s="154"/>
      <c r="L12" s="5"/>
    </row>
    <row r="13" spans="1:27" ht="22.05" customHeight="1" x14ac:dyDescent="0.45">
      <c r="A13" s="8"/>
      <c r="B13" s="39" t="s">
        <v>697</v>
      </c>
      <c r="C13" s="155" t="s">
        <v>698</v>
      </c>
      <c r="D13" s="143"/>
      <c r="E13" s="143"/>
      <c r="F13" s="143"/>
      <c r="G13" s="143"/>
      <c r="H13" s="143"/>
      <c r="I13" s="143"/>
      <c r="J13" s="143"/>
      <c r="K13" s="154"/>
      <c r="L13" s="8"/>
    </row>
    <row r="14" spans="1:27" ht="22.05" customHeight="1" x14ac:dyDescent="0.45">
      <c r="A14" s="5"/>
      <c r="B14" s="36" t="s">
        <v>699</v>
      </c>
      <c r="C14" s="153" t="s">
        <v>700</v>
      </c>
      <c r="D14" s="143"/>
      <c r="E14" s="143"/>
      <c r="F14" s="143"/>
      <c r="G14" s="143"/>
      <c r="H14" s="143"/>
      <c r="I14" s="143"/>
      <c r="J14" s="143"/>
      <c r="K14" s="154"/>
      <c r="L14" s="5"/>
    </row>
    <row r="15" spans="1:27" ht="22.05" customHeight="1" x14ac:dyDescent="0.45">
      <c r="A15" s="8"/>
      <c r="B15" s="39" t="s">
        <v>701</v>
      </c>
      <c r="C15" s="155" t="s">
        <v>702</v>
      </c>
      <c r="D15" s="143"/>
      <c r="E15" s="143"/>
      <c r="F15" s="143"/>
      <c r="G15" s="143"/>
      <c r="H15" s="143"/>
      <c r="I15" s="143"/>
      <c r="J15" s="143"/>
      <c r="K15" s="154"/>
      <c r="L15" s="8"/>
    </row>
    <row r="16" spans="1:27" ht="22.05" customHeight="1" x14ac:dyDescent="0.45">
      <c r="A16" s="5"/>
      <c r="B16" s="36" t="s">
        <v>703</v>
      </c>
      <c r="C16" s="153" t="s">
        <v>704</v>
      </c>
      <c r="D16" s="143"/>
      <c r="E16" s="143"/>
      <c r="F16" s="143"/>
      <c r="G16" s="143"/>
      <c r="H16" s="143"/>
      <c r="I16" s="143"/>
      <c r="J16" s="143"/>
      <c r="K16" s="154"/>
      <c r="L16" s="5"/>
    </row>
    <row r="17" spans="1:12" ht="6" customHeight="1" x14ac:dyDescent="0.45">
      <c r="A17" s="1"/>
      <c r="B17" s="1"/>
      <c r="C17" s="1"/>
      <c r="D17" s="1"/>
      <c r="E17" s="1"/>
      <c r="F17" s="1"/>
      <c r="G17" s="1"/>
      <c r="H17" s="1"/>
      <c r="I17" s="1"/>
      <c r="J17" s="1"/>
      <c r="K17" s="1"/>
      <c r="L17" s="1"/>
    </row>
    <row r="18" spans="1:12" ht="45" customHeight="1" x14ac:dyDescent="0.45">
      <c r="A18" s="3"/>
      <c r="B18" s="40" t="s">
        <v>131</v>
      </c>
      <c r="C18" s="40" t="s">
        <v>687</v>
      </c>
      <c r="D18" s="40" t="s">
        <v>689</v>
      </c>
      <c r="E18" s="40" t="s">
        <v>691</v>
      </c>
      <c r="F18" s="40" t="s">
        <v>693</v>
      </c>
      <c r="G18" s="40" t="s">
        <v>695</v>
      </c>
      <c r="H18" s="40" t="s">
        <v>697</v>
      </c>
      <c r="I18" s="40" t="s">
        <v>699</v>
      </c>
      <c r="J18" s="40" t="s">
        <v>701</v>
      </c>
      <c r="K18" s="40" t="s">
        <v>703</v>
      </c>
      <c r="L18" s="3"/>
    </row>
    <row r="19" spans="1:12" ht="22.05" customHeight="1" x14ac:dyDescent="0.45">
      <c r="A19" s="8"/>
      <c r="B19" s="98" t="s">
        <v>322</v>
      </c>
      <c r="C19" s="95">
        <v>1</v>
      </c>
      <c r="D19" s="37"/>
      <c r="E19" s="37"/>
      <c r="F19" s="37"/>
      <c r="G19" s="37"/>
      <c r="H19" s="37"/>
      <c r="I19" s="37"/>
      <c r="J19" s="37"/>
      <c r="K19" s="37"/>
      <c r="L19" s="8"/>
    </row>
    <row r="20" spans="1:12" ht="22.05" customHeight="1" x14ac:dyDescent="0.45">
      <c r="A20" s="5"/>
      <c r="B20" s="99" t="s">
        <v>331</v>
      </c>
      <c r="C20" s="94">
        <v>1</v>
      </c>
      <c r="D20" s="37"/>
      <c r="E20" s="37"/>
      <c r="F20" s="37"/>
      <c r="G20" s="37"/>
      <c r="H20" s="37"/>
      <c r="I20" s="37"/>
      <c r="J20" s="37"/>
      <c r="K20" s="37"/>
      <c r="L20" s="5"/>
    </row>
    <row r="21" spans="1:12" ht="22.05" customHeight="1" x14ac:dyDescent="0.45">
      <c r="A21" s="8"/>
      <c r="B21" s="98" t="s">
        <v>342</v>
      </c>
      <c r="C21" s="95">
        <v>1</v>
      </c>
      <c r="D21" s="37"/>
      <c r="E21" s="37"/>
      <c r="F21" s="37"/>
      <c r="G21" s="37"/>
      <c r="H21" s="37"/>
      <c r="I21" s="37"/>
      <c r="J21" s="37"/>
      <c r="K21" s="37"/>
      <c r="L21" s="8"/>
    </row>
    <row r="22" spans="1:12" ht="22.05" customHeight="1" x14ac:dyDescent="0.45">
      <c r="A22" s="5"/>
      <c r="B22" s="99" t="s">
        <v>350</v>
      </c>
      <c r="C22" s="94">
        <v>1</v>
      </c>
      <c r="D22" s="37"/>
      <c r="E22" s="37"/>
      <c r="F22" s="37"/>
      <c r="G22" s="37"/>
      <c r="H22" s="37"/>
      <c r="I22" s="37"/>
      <c r="J22" s="37"/>
      <c r="K22" s="37"/>
      <c r="L22" s="5"/>
    </row>
    <row r="23" spans="1:12" ht="22.05" customHeight="1" x14ac:dyDescent="0.45">
      <c r="A23" s="8"/>
      <c r="B23" s="98" t="s">
        <v>359</v>
      </c>
      <c r="C23" s="95">
        <v>1</v>
      </c>
      <c r="D23" s="37"/>
      <c r="E23" s="37"/>
      <c r="F23" s="37"/>
      <c r="G23" s="37"/>
      <c r="H23" s="37"/>
      <c r="I23" s="37"/>
      <c r="J23" s="37"/>
      <c r="K23" s="37"/>
      <c r="L23" s="8"/>
    </row>
    <row r="24" spans="1:12" ht="22.05" customHeight="1" x14ac:dyDescent="0.45">
      <c r="A24" s="5"/>
      <c r="B24" s="99" t="s">
        <v>368</v>
      </c>
      <c r="C24" s="94">
        <v>1</v>
      </c>
      <c r="D24" s="37"/>
      <c r="E24" s="37"/>
      <c r="F24" s="37"/>
      <c r="G24" s="37"/>
      <c r="H24" s="37"/>
      <c r="I24" s="37"/>
      <c r="J24" s="37"/>
      <c r="K24" s="37"/>
      <c r="L24" s="5"/>
    </row>
    <row r="25" spans="1:12" ht="22.05" customHeight="1" x14ac:dyDescent="0.45">
      <c r="A25" s="8"/>
      <c r="B25" s="98" t="s">
        <v>377</v>
      </c>
      <c r="C25" s="95">
        <v>1</v>
      </c>
      <c r="D25" s="37"/>
      <c r="E25" s="37"/>
      <c r="F25" s="37"/>
      <c r="G25" s="37"/>
      <c r="H25" s="37"/>
      <c r="I25" s="37"/>
      <c r="J25" s="37"/>
      <c r="K25" s="37"/>
      <c r="L25" s="8"/>
    </row>
    <row r="26" spans="1:12" ht="22.05" customHeight="1" x14ac:dyDescent="0.45">
      <c r="A26" s="5"/>
      <c r="B26" s="99" t="s">
        <v>386</v>
      </c>
      <c r="C26" s="94">
        <v>1</v>
      </c>
      <c r="D26" s="37"/>
      <c r="E26" s="37"/>
      <c r="F26" s="37"/>
      <c r="G26" s="37"/>
      <c r="H26" s="37"/>
      <c r="I26" s="37"/>
      <c r="J26" s="37"/>
      <c r="K26" s="37"/>
      <c r="L26" s="5"/>
    </row>
    <row r="27" spans="1:12" ht="22.05" customHeight="1" x14ac:dyDescent="0.45">
      <c r="A27" s="8"/>
      <c r="B27" s="98" t="s">
        <v>395</v>
      </c>
      <c r="C27" s="95">
        <v>1</v>
      </c>
      <c r="D27" s="37"/>
      <c r="E27" s="37"/>
      <c r="F27" s="37"/>
      <c r="G27" s="37"/>
      <c r="H27" s="37"/>
      <c r="I27" s="37"/>
      <c r="J27" s="37"/>
      <c r="K27" s="37"/>
      <c r="L27" s="8"/>
    </row>
    <row r="28" spans="1:12" ht="22.05" customHeight="1" x14ac:dyDescent="0.45">
      <c r="A28" s="5"/>
      <c r="B28" s="99" t="s">
        <v>405</v>
      </c>
      <c r="C28" s="94">
        <v>1</v>
      </c>
      <c r="D28" s="37"/>
      <c r="E28" s="37"/>
      <c r="F28" s="37"/>
      <c r="G28" s="37"/>
      <c r="H28" s="37"/>
      <c r="I28" s="37"/>
      <c r="J28" s="37"/>
      <c r="K28" s="37"/>
      <c r="L28" s="5"/>
    </row>
    <row r="29" spans="1:12" ht="22.05" customHeight="1" x14ac:dyDescent="0.45">
      <c r="A29" s="8"/>
      <c r="B29" s="98" t="s">
        <v>415</v>
      </c>
      <c r="C29" s="95">
        <v>1</v>
      </c>
      <c r="D29" s="37"/>
      <c r="E29" s="37"/>
      <c r="F29" s="37"/>
      <c r="G29" s="37"/>
      <c r="H29" s="37"/>
      <c r="I29" s="37"/>
      <c r="J29" s="37"/>
      <c r="K29" s="37"/>
      <c r="L29" s="8"/>
    </row>
    <row r="30" spans="1:12" ht="22.05" customHeight="1" x14ac:dyDescent="0.45">
      <c r="A30" s="5"/>
      <c r="B30" s="99" t="s">
        <v>424</v>
      </c>
      <c r="C30" s="94">
        <v>1</v>
      </c>
      <c r="D30" s="37"/>
      <c r="E30" s="37"/>
      <c r="F30" s="37"/>
      <c r="G30" s="37"/>
      <c r="H30" s="37"/>
      <c r="I30" s="37"/>
      <c r="J30" s="37"/>
      <c r="K30" s="37"/>
      <c r="L30" s="5"/>
    </row>
    <row r="31" spans="1:12" ht="22.05" customHeight="1" x14ac:dyDescent="0.45">
      <c r="A31" s="8"/>
      <c r="B31" s="98" t="s">
        <v>432</v>
      </c>
      <c r="C31" s="95">
        <v>1</v>
      </c>
      <c r="D31" s="37"/>
      <c r="E31" s="37"/>
      <c r="F31" s="37"/>
      <c r="G31" s="37"/>
      <c r="H31" s="37"/>
      <c r="I31" s="37"/>
      <c r="J31" s="37"/>
      <c r="K31" s="37"/>
      <c r="L31" s="8"/>
    </row>
    <row r="32" spans="1:12" ht="22.05" customHeight="1" x14ac:dyDescent="0.45">
      <c r="A32" s="5"/>
      <c r="B32" s="99" t="s">
        <v>440</v>
      </c>
      <c r="C32" s="94">
        <v>1</v>
      </c>
      <c r="D32" s="37"/>
      <c r="E32" s="37"/>
      <c r="F32" s="37"/>
      <c r="G32" s="37"/>
      <c r="H32" s="37"/>
      <c r="I32" s="37"/>
      <c r="J32" s="37"/>
      <c r="K32" s="37"/>
      <c r="L32" s="5"/>
    </row>
    <row r="33" spans="1:12" ht="22.05" customHeight="1" x14ac:dyDescent="0.45">
      <c r="A33" s="8"/>
      <c r="B33" s="98" t="s">
        <v>448</v>
      </c>
      <c r="C33" s="95">
        <v>1</v>
      </c>
      <c r="D33" s="37"/>
      <c r="E33" s="37"/>
      <c r="F33" s="37"/>
      <c r="G33" s="37"/>
      <c r="H33" s="37"/>
      <c r="I33" s="37"/>
      <c r="J33" s="37"/>
      <c r="K33" s="37"/>
      <c r="L33" s="8"/>
    </row>
    <row r="34" spans="1:12" ht="22.05" customHeight="1" x14ac:dyDescent="0.45">
      <c r="A34" s="5"/>
      <c r="B34" s="99" t="s">
        <v>459</v>
      </c>
      <c r="C34" s="94">
        <v>1</v>
      </c>
      <c r="D34" s="37"/>
      <c r="E34" s="37"/>
      <c r="F34" s="37"/>
      <c r="G34" s="37"/>
      <c r="H34" s="37"/>
      <c r="I34" s="37"/>
      <c r="J34" s="37"/>
      <c r="K34" s="37"/>
      <c r="L34" s="5"/>
    </row>
    <row r="35" spans="1:12" ht="22.05" customHeight="1" x14ac:dyDescent="0.45">
      <c r="A35" s="8"/>
      <c r="B35" s="98" t="s">
        <v>468</v>
      </c>
      <c r="C35" s="95">
        <v>1</v>
      </c>
      <c r="D35" s="37"/>
      <c r="E35" s="37"/>
      <c r="F35" s="37"/>
      <c r="G35" s="37"/>
      <c r="H35" s="37"/>
      <c r="I35" s="37"/>
      <c r="J35" s="37"/>
      <c r="K35" s="37"/>
      <c r="L35" s="8"/>
    </row>
    <row r="36" spans="1:12" ht="22.05" customHeight="1" x14ac:dyDescent="0.45">
      <c r="A36" s="5"/>
      <c r="B36" s="99" t="s">
        <v>476</v>
      </c>
      <c r="C36" s="94">
        <v>1</v>
      </c>
      <c r="D36" s="37"/>
      <c r="E36" s="37"/>
      <c r="F36" s="37"/>
      <c r="G36" s="37"/>
      <c r="H36" s="37"/>
      <c r="I36" s="37"/>
      <c r="J36" s="37"/>
      <c r="K36" s="37"/>
      <c r="L36" s="5"/>
    </row>
    <row r="37" spans="1:12" ht="22.05" customHeight="1" x14ac:dyDescent="0.45">
      <c r="A37" s="8"/>
      <c r="B37" s="98" t="s">
        <v>484</v>
      </c>
      <c r="C37" s="95">
        <v>1</v>
      </c>
      <c r="D37" s="37"/>
      <c r="E37" s="37"/>
      <c r="F37" s="37"/>
      <c r="G37" s="37"/>
      <c r="H37" s="37"/>
      <c r="I37" s="37"/>
      <c r="J37" s="37"/>
      <c r="K37" s="37"/>
      <c r="L37" s="8"/>
    </row>
    <row r="38" spans="1:12" ht="22.05" customHeight="1" x14ac:dyDescent="0.45">
      <c r="A38" s="5"/>
      <c r="B38" s="99" t="s">
        <v>493</v>
      </c>
      <c r="C38" s="94">
        <v>1</v>
      </c>
      <c r="D38" s="37"/>
      <c r="E38" s="37"/>
      <c r="F38" s="37"/>
      <c r="G38" s="37"/>
      <c r="H38" s="37"/>
      <c r="I38" s="37"/>
      <c r="J38" s="37"/>
      <c r="K38" s="37"/>
      <c r="L38" s="5"/>
    </row>
    <row r="39" spans="1:12" ht="22.05" customHeight="1" x14ac:dyDescent="0.45">
      <c r="A39" s="8"/>
      <c r="B39" s="98" t="s">
        <v>502</v>
      </c>
      <c r="C39" s="95">
        <v>1</v>
      </c>
      <c r="D39" s="37"/>
      <c r="E39" s="37"/>
      <c r="F39" s="37"/>
      <c r="G39" s="37"/>
      <c r="H39" s="37"/>
      <c r="I39" s="37"/>
      <c r="J39" s="37"/>
      <c r="K39" s="37"/>
      <c r="L39" s="8"/>
    </row>
    <row r="40" spans="1:12" ht="22.05" customHeight="1" x14ac:dyDescent="0.45">
      <c r="A40" s="5"/>
      <c r="B40" s="99" t="s">
        <v>510</v>
      </c>
      <c r="C40" s="94">
        <v>1</v>
      </c>
      <c r="D40" s="37"/>
      <c r="E40" s="37"/>
      <c r="F40" s="37"/>
      <c r="G40" s="37"/>
      <c r="H40" s="37"/>
      <c r="I40" s="37"/>
      <c r="J40" s="37"/>
      <c r="K40" s="37"/>
      <c r="L40" s="5"/>
    </row>
    <row r="41" spans="1:12" ht="22.05" customHeight="1" x14ac:dyDescent="0.45">
      <c r="A41" s="8"/>
      <c r="B41" s="98" t="s">
        <v>520</v>
      </c>
      <c r="C41" s="95">
        <v>1</v>
      </c>
      <c r="D41" s="37"/>
      <c r="E41" s="37"/>
      <c r="F41" s="37"/>
      <c r="G41" s="37"/>
      <c r="H41" s="37"/>
      <c r="I41" s="37"/>
      <c r="J41" s="37"/>
      <c r="K41" s="37"/>
      <c r="L41" s="8"/>
    </row>
    <row r="42" spans="1:12" ht="22.05" customHeight="1" x14ac:dyDescent="0.45">
      <c r="A42" s="5"/>
      <c r="B42" s="99" t="s">
        <v>528</v>
      </c>
      <c r="C42" s="94">
        <v>1</v>
      </c>
      <c r="D42" s="37"/>
      <c r="E42" s="37"/>
      <c r="F42" s="37"/>
      <c r="G42" s="37"/>
      <c r="H42" s="37"/>
      <c r="I42" s="37"/>
      <c r="J42" s="37"/>
      <c r="K42" s="37"/>
      <c r="L42" s="5"/>
    </row>
    <row r="43" spans="1:12" ht="22.05" customHeight="1" x14ac:dyDescent="0.45">
      <c r="A43" s="8"/>
      <c r="B43" s="98" t="s">
        <v>536</v>
      </c>
      <c r="C43" s="95">
        <v>1</v>
      </c>
      <c r="D43" s="37"/>
      <c r="E43" s="37"/>
      <c r="F43" s="37"/>
      <c r="G43" s="37"/>
      <c r="H43" s="37"/>
      <c r="I43" s="37"/>
      <c r="J43" s="37"/>
      <c r="K43" s="37"/>
      <c r="L43" s="8"/>
    </row>
    <row r="44" spans="1:12" ht="22.05" customHeight="1" x14ac:dyDescent="0.45">
      <c r="A44" s="5"/>
      <c r="B44" s="99" t="s">
        <v>545</v>
      </c>
      <c r="C44" s="94">
        <v>1</v>
      </c>
      <c r="D44" s="37"/>
      <c r="E44" s="37"/>
      <c r="F44" s="37"/>
      <c r="G44" s="37"/>
      <c r="H44" s="37"/>
      <c r="I44" s="37"/>
      <c r="J44" s="37"/>
      <c r="K44" s="37"/>
      <c r="L44" s="5"/>
    </row>
    <row r="45" spans="1:12" ht="22.05" customHeight="1" x14ac:dyDescent="0.45">
      <c r="A45" s="8"/>
      <c r="B45" s="98" t="s">
        <v>554</v>
      </c>
      <c r="C45" s="95">
        <v>1</v>
      </c>
      <c r="D45" s="37"/>
      <c r="E45" s="37"/>
      <c r="F45" s="37"/>
      <c r="G45" s="37"/>
      <c r="H45" s="37"/>
      <c r="I45" s="37"/>
      <c r="J45" s="37"/>
      <c r="K45" s="37"/>
      <c r="L45" s="8"/>
    </row>
    <row r="46" spans="1:12" ht="22.05" customHeight="1" x14ac:dyDescent="0.45">
      <c r="A46" s="5"/>
      <c r="B46" s="99" t="s">
        <v>564</v>
      </c>
      <c r="C46" s="94">
        <v>1</v>
      </c>
      <c r="D46" s="37"/>
      <c r="E46" s="37"/>
      <c r="F46" s="37"/>
      <c r="G46" s="37"/>
      <c r="H46" s="37"/>
      <c r="I46" s="37"/>
      <c r="J46" s="37"/>
      <c r="K46" s="37"/>
      <c r="L46" s="5"/>
    </row>
    <row r="47" spans="1:12" ht="22.05" customHeight="1" x14ac:dyDescent="0.45">
      <c r="A47" s="8"/>
      <c r="B47" s="98" t="s">
        <v>570</v>
      </c>
      <c r="C47" s="95">
        <v>1</v>
      </c>
      <c r="D47" s="37"/>
      <c r="E47" s="37"/>
      <c r="F47" s="37"/>
      <c r="G47" s="37"/>
      <c r="H47" s="37"/>
      <c r="I47" s="37"/>
      <c r="J47" s="37"/>
      <c r="K47" s="37"/>
      <c r="L47" s="8"/>
    </row>
    <row r="48" spans="1:12" ht="22.05" customHeight="1" x14ac:dyDescent="0.45">
      <c r="A48" s="5"/>
      <c r="B48" s="99" t="s">
        <v>579</v>
      </c>
      <c r="C48" s="94">
        <v>1</v>
      </c>
      <c r="D48" s="37"/>
      <c r="E48" s="37"/>
      <c r="F48" s="37"/>
      <c r="G48" s="37"/>
      <c r="H48" s="37"/>
      <c r="I48" s="37"/>
      <c r="J48" s="37"/>
      <c r="K48" s="37"/>
      <c r="L48" s="5"/>
    </row>
    <row r="49" spans="1:12" ht="22.05" customHeight="1" x14ac:dyDescent="0.45">
      <c r="A49" s="8"/>
      <c r="B49" s="98" t="s">
        <v>588</v>
      </c>
      <c r="C49" s="95">
        <v>1</v>
      </c>
      <c r="D49" s="37"/>
      <c r="E49" s="37"/>
      <c r="F49" s="37"/>
      <c r="G49" s="37"/>
      <c r="H49" s="37"/>
      <c r="I49" s="37"/>
      <c r="J49" s="37"/>
      <c r="K49" s="37"/>
      <c r="L49" s="8"/>
    </row>
    <row r="50" spans="1:12" ht="22.05" customHeight="1" x14ac:dyDescent="0.45">
      <c r="A50" s="5"/>
      <c r="B50" s="99" t="s">
        <v>597</v>
      </c>
      <c r="C50" s="94">
        <v>1</v>
      </c>
      <c r="D50" s="37"/>
      <c r="E50" s="37"/>
      <c r="F50" s="37"/>
      <c r="G50" s="37"/>
      <c r="H50" s="37"/>
      <c r="I50" s="37"/>
      <c r="J50" s="37"/>
      <c r="K50" s="37"/>
      <c r="L50" s="5"/>
    </row>
    <row r="51" spans="1:12" ht="22.05" customHeight="1" x14ac:dyDescent="0.45">
      <c r="A51" s="8"/>
      <c r="B51" s="98" t="s">
        <v>607</v>
      </c>
      <c r="C51" s="95">
        <v>1</v>
      </c>
      <c r="D51" s="37"/>
      <c r="E51" s="37"/>
      <c r="F51" s="37"/>
      <c r="G51" s="37"/>
      <c r="H51" s="37"/>
      <c r="I51" s="37"/>
      <c r="J51" s="37"/>
      <c r="K51" s="37"/>
      <c r="L51" s="8"/>
    </row>
    <row r="52" spans="1:12" ht="22.05" customHeight="1" x14ac:dyDescent="0.45">
      <c r="A52" s="5"/>
      <c r="B52" s="99" t="s">
        <v>616</v>
      </c>
      <c r="C52" s="94">
        <v>1</v>
      </c>
      <c r="D52" s="37"/>
      <c r="E52" s="37"/>
      <c r="F52" s="37"/>
      <c r="G52" s="37"/>
      <c r="H52" s="37"/>
      <c r="I52" s="37"/>
      <c r="J52" s="37"/>
      <c r="K52" s="37"/>
      <c r="L52" s="5"/>
    </row>
    <row r="53" spans="1:12" ht="22.05" customHeight="1" x14ac:dyDescent="0.45">
      <c r="A53" s="8"/>
      <c r="B53" s="98" t="s">
        <v>624</v>
      </c>
      <c r="C53" s="95">
        <v>1</v>
      </c>
      <c r="D53" s="37"/>
      <c r="E53" s="37"/>
      <c r="F53" s="37"/>
      <c r="G53" s="37"/>
      <c r="H53" s="37"/>
      <c r="I53" s="37"/>
      <c r="J53" s="37"/>
      <c r="K53" s="37"/>
      <c r="L53" s="8"/>
    </row>
    <row r="54" spans="1:12" ht="22.05" customHeight="1" x14ac:dyDescent="0.45">
      <c r="A54" s="5"/>
      <c r="B54" s="99" t="s">
        <v>632</v>
      </c>
      <c r="C54" s="94">
        <v>1</v>
      </c>
      <c r="D54" s="37"/>
      <c r="E54" s="37"/>
      <c r="F54" s="37"/>
      <c r="G54" s="37"/>
      <c r="H54" s="37"/>
      <c r="I54" s="37"/>
      <c r="J54" s="37"/>
      <c r="K54" s="37"/>
      <c r="L54" s="5"/>
    </row>
    <row r="55" spans="1:12" ht="22.05" customHeight="1" x14ac:dyDescent="0.45">
      <c r="A55" s="8"/>
      <c r="B55" s="98" t="s">
        <v>641</v>
      </c>
      <c r="C55" s="95">
        <v>1</v>
      </c>
      <c r="D55" s="37"/>
      <c r="E55" s="37"/>
      <c r="F55" s="37"/>
      <c r="G55" s="37"/>
      <c r="H55" s="37"/>
      <c r="I55" s="37"/>
      <c r="J55" s="37"/>
      <c r="K55" s="37"/>
      <c r="L55" s="8"/>
    </row>
    <row r="56" spans="1:12" ht="22.05" customHeight="1" x14ac:dyDescent="0.45">
      <c r="A56" s="5"/>
      <c r="B56" s="99" t="s">
        <v>647</v>
      </c>
      <c r="C56" s="94">
        <v>1</v>
      </c>
      <c r="D56" s="37"/>
      <c r="E56" s="37"/>
      <c r="F56" s="37"/>
      <c r="G56" s="37"/>
      <c r="H56" s="37"/>
      <c r="I56" s="37"/>
      <c r="J56" s="37"/>
      <c r="K56" s="37"/>
      <c r="L56" s="5"/>
    </row>
    <row r="57" spans="1:12" ht="22.05" customHeight="1" x14ac:dyDescent="0.45">
      <c r="A57" s="8"/>
      <c r="B57" s="100"/>
      <c r="C57" s="100"/>
      <c r="D57" s="101"/>
      <c r="E57" s="101"/>
      <c r="F57" s="101"/>
      <c r="G57" s="101"/>
      <c r="H57" s="101"/>
      <c r="I57" s="101"/>
      <c r="J57" s="101"/>
      <c r="K57" s="101"/>
      <c r="L57" s="8"/>
    </row>
    <row r="58" spans="1:12" ht="22.05" customHeight="1" x14ac:dyDescent="0.45">
      <c r="A58" s="5"/>
      <c r="B58" s="102"/>
      <c r="C58" s="102"/>
      <c r="D58" s="101"/>
      <c r="E58" s="101"/>
      <c r="F58" s="101"/>
      <c r="G58" s="101"/>
      <c r="H58" s="101"/>
      <c r="I58" s="101"/>
      <c r="J58" s="101"/>
      <c r="K58" s="101"/>
      <c r="L58" s="5"/>
    </row>
    <row r="59" spans="1:12" ht="22.05" customHeight="1" x14ac:dyDescent="0.45">
      <c r="A59" s="8"/>
      <c r="B59" s="100"/>
      <c r="C59" s="100"/>
      <c r="D59" s="101"/>
      <c r="E59" s="101"/>
      <c r="F59" s="101"/>
      <c r="G59" s="101"/>
      <c r="H59" s="101"/>
      <c r="I59" s="101"/>
      <c r="J59" s="101"/>
      <c r="K59" s="101"/>
      <c r="L59" s="8"/>
    </row>
    <row r="60" spans="1:12" ht="22.05" customHeight="1" x14ac:dyDescent="0.45">
      <c r="A60" s="5"/>
      <c r="B60" s="102"/>
      <c r="C60" s="102"/>
      <c r="D60" s="101"/>
      <c r="E60" s="101"/>
      <c r="F60" s="101"/>
      <c r="G60" s="101"/>
      <c r="H60" s="101"/>
      <c r="I60" s="101"/>
      <c r="J60" s="101"/>
      <c r="K60" s="101"/>
      <c r="L60" s="5"/>
    </row>
    <row r="61" spans="1:12" ht="22.05" customHeight="1" x14ac:dyDescent="0.45">
      <c r="A61" s="8"/>
      <c r="B61" s="100"/>
      <c r="C61" s="100"/>
      <c r="D61" s="101"/>
      <c r="E61" s="101"/>
      <c r="F61" s="101"/>
      <c r="G61" s="101"/>
      <c r="H61" s="101"/>
      <c r="I61" s="101"/>
      <c r="J61" s="101"/>
      <c r="K61" s="101"/>
      <c r="L61" s="8"/>
    </row>
    <row r="62" spans="1:12" ht="22.05" customHeight="1" x14ac:dyDescent="0.45">
      <c r="A62" s="5"/>
      <c r="B62" s="102"/>
      <c r="C62" s="102"/>
      <c r="D62" s="101"/>
      <c r="E62" s="101"/>
      <c r="F62" s="101"/>
      <c r="G62" s="101"/>
      <c r="H62" s="101"/>
      <c r="I62" s="101"/>
      <c r="J62" s="101"/>
      <c r="K62" s="101"/>
      <c r="L62" s="5"/>
    </row>
    <row r="63" spans="1:12" ht="22.05" customHeight="1" x14ac:dyDescent="0.45">
      <c r="A63" s="8"/>
      <c r="B63" s="100"/>
      <c r="C63" s="100"/>
      <c r="D63" s="101"/>
      <c r="E63" s="101"/>
      <c r="F63" s="101"/>
      <c r="G63" s="101"/>
      <c r="H63" s="101"/>
      <c r="I63" s="101"/>
      <c r="J63" s="101"/>
      <c r="K63" s="101"/>
      <c r="L63" s="8"/>
    </row>
    <row r="64" spans="1:12" ht="22.05" customHeight="1" x14ac:dyDescent="0.45">
      <c r="A64" s="5"/>
      <c r="B64" s="102"/>
      <c r="C64" s="102"/>
      <c r="D64" s="101"/>
      <c r="E64" s="101"/>
      <c r="F64" s="101"/>
      <c r="G64" s="101"/>
      <c r="H64" s="101"/>
      <c r="I64" s="101"/>
      <c r="J64" s="101"/>
      <c r="K64" s="101"/>
      <c r="L64" s="5"/>
    </row>
    <row r="65" spans="1:12" ht="22.05" customHeight="1" x14ac:dyDescent="0.45">
      <c r="A65" s="8"/>
      <c r="B65" s="100"/>
      <c r="C65" s="100"/>
      <c r="D65" s="101"/>
      <c r="E65" s="101"/>
      <c r="F65" s="101"/>
      <c r="G65" s="101"/>
      <c r="H65" s="101"/>
      <c r="I65" s="101"/>
      <c r="J65" s="101"/>
      <c r="K65" s="101"/>
      <c r="L65" s="8"/>
    </row>
    <row r="66" spans="1:12" ht="22.05" customHeight="1" x14ac:dyDescent="0.45">
      <c r="A66" s="5"/>
      <c r="B66" s="102"/>
      <c r="C66" s="102"/>
      <c r="D66" s="101"/>
      <c r="E66" s="101"/>
      <c r="F66" s="101"/>
      <c r="G66" s="101"/>
      <c r="H66" s="101"/>
      <c r="I66" s="101"/>
      <c r="J66" s="101"/>
      <c r="K66" s="101"/>
      <c r="L66" s="5"/>
    </row>
    <row r="67" spans="1:12" ht="22.05" customHeight="1" x14ac:dyDescent="0.45">
      <c r="A67" s="8"/>
      <c r="B67" s="100"/>
      <c r="C67" s="100"/>
      <c r="D67" s="101"/>
      <c r="E67" s="101"/>
      <c r="F67" s="101"/>
      <c r="G67" s="101"/>
      <c r="H67" s="101"/>
      <c r="I67" s="101"/>
      <c r="J67" s="101"/>
      <c r="K67" s="101"/>
      <c r="L67" s="8"/>
    </row>
    <row r="68" spans="1:12" ht="22.05" customHeight="1" x14ac:dyDescent="0.45">
      <c r="A68" s="5"/>
      <c r="B68" s="102"/>
      <c r="C68" s="102"/>
      <c r="D68" s="101"/>
      <c r="E68" s="101"/>
      <c r="F68" s="101"/>
      <c r="G68" s="101"/>
      <c r="H68" s="101"/>
      <c r="I68" s="101"/>
      <c r="J68" s="101"/>
      <c r="K68" s="101"/>
      <c r="L68" s="5"/>
    </row>
    <row r="69" spans="1:12" ht="22.05" customHeight="1" x14ac:dyDescent="0.45">
      <c r="A69" s="8"/>
      <c r="B69" s="100"/>
      <c r="C69" s="100"/>
      <c r="D69" s="101"/>
      <c r="E69" s="101"/>
      <c r="F69" s="101"/>
      <c r="G69" s="101"/>
      <c r="H69" s="101"/>
      <c r="I69" s="101"/>
      <c r="J69" s="101"/>
      <c r="K69" s="101"/>
      <c r="L69" s="8"/>
    </row>
    <row r="70" spans="1:12" ht="22.05" customHeight="1" x14ac:dyDescent="0.45">
      <c r="A70" s="5"/>
      <c r="B70" s="102"/>
      <c r="C70" s="102"/>
      <c r="D70" s="101"/>
      <c r="E70" s="101"/>
      <c r="F70" s="101"/>
      <c r="G70" s="101"/>
      <c r="H70" s="101"/>
      <c r="I70" s="101"/>
      <c r="J70" s="101"/>
      <c r="K70" s="101"/>
      <c r="L70" s="5"/>
    </row>
    <row r="71" spans="1:12" ht="22.05" customHeight="1" x14ac:dyDescent="0.45">
      <c r="A71" s="8"/>
      <c r="B71" s="100"/>
      <c r="C71" s="100"/>
      <c r="D71" s="101"/>
      <c r="E71" s="101"/>
      <c r="F71" s="101"/>
      <c r="G71" s="101"/>
      <c r="H71" s="101"/>
      <c r="I71" s="101"/>
      <c r="J71" s="101"/>
      <c r="K71" s="101"/>
      <c r="L71" s="8"/>
    </row>
    <row r="72" spans="1:12" ht="22.05" customHeight="1" x14ac:dyDescent="0.45">
      <c r="A72" s="5"/>
      <c r="B72" s="102"/>
      <c r="C72" s="102"/>
      <c r="D72" s="101"/>
      <c r="E72" s="101"/>
      <c r="F72" s="101"/>
      <c r="G72" s="101"/>
      <c r="H72" s="101"/>
      <c r="I72" s="101"/>
      <c r="J72" s="101"/>
      <c r="K72" s="101"/>
      <c r="L72" s="5"/>
    </row>
    <row r="73" spans="1:12" ht="22.05" customHeight="1" x14ac:dyDescent="0.45">
      <c r="A73" s="8"/>
      <c r="B73" s="100"/>
      <c r="C73" s="100"/>
      <c r="D73" s="101"/>
      <c r="E73" s="101"/>
      <c r="F73" s="101"/>
      <c r="G73" s="101"/>
      <c r="H73" s="101"/>
      <c r="I73" s="101"/>
      <c r="J73" s="101"/>
      <c r="K73" s="101"/>
      <c r="L73" s="8"/>
    </row>
    <row r="74" spans="1:12" ht="22.05" customHeight="1" x14ac:dyDescent="0.45">
      <c r="A74" s="5"/>
      <c r="B74" s="102"/>
      <c r="C74" s="102"/>
      <c r="D74" s="101"/>
      <c r="E74" s="101"/>
      <c r="F74" s="101"/>
      <c r="G74" s="101"/>
      <c r="H74" s="101"/>
      <c r="I74" s="101"/>
      <c r="J74" s="101"/>
      <c r="K74" s="101"/>
      <c r="L74" s="5"/>
    </row>
    <row r="75" spans="1:12" ht="22.05" customHeight="1" x14ac:dyDescent="0.45">
      <c r="A75" s="8"/>
      <c r="B75" s="100"/>
      <c r="C75" s="100"/>
      <c r="D75" s="101"/>
      <c r="E75" s="101"/>
      <c r="F75" s="101"/>
      <c r="G75" s="101"/>
      <c r="H75" s="101"/>
      <c r="I75" s="101"/>
      <c r="J75" s="101"/>
      <c r="K75" s="101"/>
      <c r="L75" s="8"/>
    </row>
    <row r="76" spans="1:12" ht="22.05" customHeight="1" x14ac:dyDescent="0.45">
      <c r="A76" s="5"/>
      <c r="B76" s="102"/>
      <c r="C76" s="102"/>
      <c r="D76" s="101"/>
      <c r="E76" s="101"/>
      <c r="F76" s="101"/>
      <c r="G76" s="101"/>
      <c r="H76" s="101"/>
      <c r="I76" s="101"/>
      <c r="J76" s="101"/>
      <c r="K76" s="101"/>
      <c r="L76" s="5"/>
    </row>
    <row r="77" spans="1:12" ht="22.05" customHeight="1" x14ac:dyDescent="0.45">
      <c r="A77" s="8"/>
      <c r="B77" s="100"/>
      <c r="C77" s="100"/>
      <c r="D77" s="101"/>
      <c r="E77" s="101"/>
      <c r="F77" s="101"/>
      <c r="G77" s="101"/>
      <c r="H77" s="101"/>
      <c r="I77" s="101"/>
      <c r="J77" s="101"/>
      <c r="K77" s="101"/>
      <c r="L77" s="8"/>
    </row>
    <row r="78" spans="1:12" ht="22.05" customHeight="1" x14ac:dyDescent="0.45">
      <c r="A78" s="5"/>
      <c r="B78" s="102"/>
      <c r="C78" s="102"/>
      <c r="D78" s="101"/>
      <c r="E78" s="101"/>
      <c r="F78" s="101"/>
      <c r="G78" s="101"/>
      <c r="H78" s="101"/>
      <c r="I78" s="101"/>
      <c r="J78" s="101"/>
      <c r="K78" s="101"/>
      <c r="L78" s="5"/>
    </row>
    <row r="79" spans="1:12" ht="22.05" customHeight="1" x14ac:dyDescent="0.45">
      <c r="A79" s="8"/>
      <c r="B79" s="100"/>
      <c r="C79" s="100"/>
      <c r="D79" s="101"/>
      <c r="E79" s="101"/>
      <c r="F79" s="101"/>
      <c r="G79" s="101"/>
      <c r="H79" s="101"/>
      <c r="I79" s="101"/>
      <c r="J79" s="101"/>
      <c r="K79" s="101"/>
      <c r="L79" s="8"/>
    </row>
    <row r="80" spans="1:12" ht="22.05" customHeight="1" x14ac:dyDescent="0.45">
      <c r="A80" s="5"/>
      <c r="B80" s="102"/>
      <c r="C80" s="102"/>
      <c r="D80" s="101"/>
      <c r="E80" s="101"/>
      <c r="F80" s="101"/>
      <c r="G80" s="101"/>
      <c r="H80" s="101"/>
      <c r="I80" s="101"/>
      <c r="J80" s="101"/>
      <c r="K80" s="101"/>
      <c r="L80" s="5"/>
    </row>
    <row r="81" spans="1:12" ht="22.05" customHeight="1" x14ac:dyDescent="0.45">
      <c r="A81" s="8"/>
      <c r="B81" s="100"/>
      <c r="C81" s="100"/>
      <c r="D81" s="101"/>
      <c r="E81" s="101"/>
      <c r="F81" s="101"/>
      <c r="G81" s="101"/>
      <c r="H81" s="101"/>
      <c r="I81" s="101"/>
      <c r="J81" s="101"/>
      <c r="K81" s="101"/>
      <c r="L81" s="8"/>
    </row>
    <row r="82" spans="1:12" ht="22.05" customHeight="1" x14ac:dyDescent="0.45">
      <c r="A82" s="5"/>
      <c r="B82" s="102"/>
      <c r="C82" s="102"/>
      <c r="D82" s="101"/>
      <c r="E82" s="101"/>
      <c r="F82" s="101"/>
      <c r="G82" s="101"/>
      <c r="H82" s="101"/>
      <c r="I82" s="101"/>
      <c r="J82" s="101"/>
      <c r="K82" s="101"/>
      <c r="L82" s="5"/>
    </row>
    <row r="83" spans="1:12" ht="22.05" customHeight="1" x14ac:dyDescent="0.45">
      <c r="A83" s="8"/>
      <c r="B83" s="100"/>
      <c r="C83" s="100"/>
      <c r="D83" s="101"/>
      <c r="E83" s="101"/>
      <c r="F83" s="101"/>
      <c r="G83" s="101"/>
      <c r="H83" s="101"/>
      <c r="I83" s="101"/>
      <c r="J83" s="101"/>
      <c r="K83" s="101"/>
      <c r="L83" s="8"/>
    </row>
    <row r="84" spans="1:12" ht="22.05" customHeight="1" x14ac:dyDescent="0.45">
      <c r="A84" s="5"/>
      <c r="B84" s="102"/>
      <c r="C84" s="102"/>
      <c r="D84" s="101"/>
      <c r="E84" s="101"/>
      <c r="F84" s="101"/>
      <c r="G84" s="101"/>
      <c r="H84" s="101"/>
      <c r="I84" s="101"/>
      <c r="J84" s="101"/>
      <c r="K84" s="101"/>
      <c r="L84" s="5"/>
    </row>
    <row r="85" spans="1:12" ht="22.05" customHeight="1" x14ac:dyDescent="0.45">
      <c r="A85" s="8"/>
      <c r="B85" s="100"/>
      <c r="C85" s="100"/>
      <c r="D85" s="101"/>
      <c r="E85" s="101"/>
      <c r="F85" s="101"/>
      <c r="G85" s="101"/>
      <c r="H85" s="101"/>
      <c r="I85" s="101"/>
      <c r="J85" s="101"/>
      <c r="K85" s="101"/>
      <c r="L85" s="8"/>
    </row>
    <row r="86" spans="1:12" ht="22.05" customHeight="1" x14ac:dyDescent="0.45">
      <c r="A86" s="5"/>
      <c r="B86" s="102"/>
      <c r="C86" s="102"/>
      <c r="D86" s="101"/>
      <c r="E86" s="101"/>
      <c r="F86" s="101"/>
      <c r="G86" s="101"/>
      <c r="H86" s="101"/>
      <c r="I86" s="101"/>
      <c r="J86" s="101"/>
      <c r="K86" s="101"/>
      <c r="L86" s="5"/>
    </row>
    <row r="87" spans="1:12" ht="6" customHeight="1" x14ac:dyDescent="0.45">
      <c r="A87" s="1"/>
      <c r="B87" s="1"/>
      <c r="C87" s="1"/>
      <c r="D87" s="1"/>
      <c r="E87" s="1"/>
      <c r="F87" s="1"/>
      <c r="G87" s="1"/>
      <c r="H87" s="1"/>
      <c r="I87" s="1"/>
      <c r="J87" s="1"/>
      <c r="K87" s="1"/>
      <c r="L87" s="1"/>
    </row>
    <row r="88" spans="1:12" ht="20" customHeight="1" x14ac:dyDescent="0.45">
      <c r="A88" s="3"/>
      <c r="B88" s="129" t="s">
        <v>22</v>
      </c>
      <c r="C88" s="127"/>
      <c r="D88" s="127"/>
      <c r="E88" s="127"/>
      <c r="F88" s="127"/>
      <c r="G88" s="127"/>
      <c r="H88" s="127"/>
      <c r="I88" s="127"/>
      <c r="J88" s="127"/>
      <c r="K88" s="127"/>
      <c r="L88" s="3"/>
    </row>
  </sheetData>
  <mergeCells count="15">
    <mergeCell ref="C14:K14"/>
    <mergeCell ref="B88:K88"/>
    <mergeCell ref="C13:K13"/>
    <mergeCell ref="C9:K9"/>
    <mergeCell ref="B6:K6"/>
    <mergeCell ref="C7:K7"/>
    <mergeCell ref="C16:K16"/>
    <mergeCell ref="C15:K15"/>
    <mergeCell ref="C11:K11"/>
    <mergeCell ref="C10:K10"/>
    <mergeCell ref="B2:K2"/>
    <mergeCell ref="C12:K12"/>
    <mergeCell ref="B3:K3"/>
    <mergeCell ref="B4:K4"/>
    <mergeCell ref="C8:K8"/>
  </mergeCells>
  <dataValidations count="1">
    <dataValidation type="list" allowBlank="1" sqref="D19:D86" xr:uid="{00000000-0002-0000-0600-000000000000}">
      <formula1>"Document,Interview,Observation,System Output,Configuration"</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E7490"/>
  </sheetPr>
  <dimension ref="A1:AA50"/>
  <sheetViews>
    <sheetView showGridLines="0" zoomScale="80" workbookViewId="0">
      <pane xSplit="1" ySplit="10" topLeftCell="B11" activePane="bottomRight" state="frozen"/>
      <selection pane="topRight"/>
      <selection pane="bottomLeft"/>
      <selection pane="bottomRight" sqref="A1:XFD1"/>
    </sheetView>
  </sheetViews>
  <sheetFormatPr defaultRowHeight="14.25" x14ac:dyDescent="0.45"/>
  <cols>
    <col min="1" max="1" width="3" customWidth="1"/>
    <col min="2" max="2" width="16" customWidth="1"/>
    <col min="3" max="3" width="14" customWidth="1"/>
    <col min="4" max="4" width="28" customWidth="1"/>
    <col min="5" max="5" width="16" customWidth="1"/>
    <col min="6" max="6" width="12" customWidth="1"/>
    <col min="7" max="7" width="20" customWidth="1"/>
    <col min="8" max="8" width="14" customWidth="1"/>
    <col min="9" max="10" width="10" customWidth="1"/>
    <col min="11" max="11" width="3" customWidth="1"/>
    <col min="12" max="23" width="7" customWidth="1"/>
    <col min="24" max="24" width="3" customWidth="1"/>
    <col min="25" max="27" width="13" customWidth="1"/>
  </cols>
  <sheetData>
    <row r="1" spans="1:27" ht="1.05" customHeight="1" x14ac:dyDescent="0.45">
      <c r="A1" s="1"/>
      <c r="B1" s="1"/>
      <c r="C1" s="1"/>
      <c r="D1" s="1"/>
      <c r="E1" s="1"/>
      <c r="F1" s="1"/>
      <c r="G1" s="1"/>
      <c r="H1" s="1"/>
      <c r="I1" s="1"/>
      <c r="J1" s="1"/>
      <c r="K1" s="1"/>
      <c r="L1" s="1"/>
      <c r="M1" s="1"/>
      <c r="N1" s="1"/>
      <c r="O1" s="1"/>
      <c r="P1" s="1"/>
      <c r="Q1" s="1"/>
      <c r="R1" s="1"/>
      <c r="S1" s="1"/>
      <c r="T1" s="1"/>
      <c r="U1" s="1"/>
      <c r="V1" s="1"/>
      <c r="W1" s="1"/>
      <c r="X1" s="1"/>
      <c r="AA1" s="2" t="s">
        <v>0</v>
      </c>
    </row>
    <row r="2" spans="1:27" ht="28.05" customHeight="1" x14ac:dyDescent="0.45">
      <c r="A2" s="3"/>
      <c r="B2" s="134" t="s">
        <v>705</v>
      </c>
      <c r="C2" s="127"/>
      <c r="D2" s="127"/>
      <c r="E2" s="127"/>
      <c r="F2" s="127"/>
      <c r="G2" s="127"/>
      <c r="H2" s="127"/>
      <c r="I2" s="127"/>
      <c r="J2" s="127"/>
      <c r="K2" s="127"/>
      <c r="L2" s="127"/>
      <c r="M2" s="127"/>
      <c r="N2" s="127"/>
      <c r="O2" s="127"/>
      <c r="P2" s="127"/>
      <c r="Q2" s="127"/>
      <c r="R2" s="127"/>
      <c r="S2" s="127"/>
      <c r="T2" s="127"/>
      <c r="U2" s="127"/>
      <c r="V2" s="127"/>
      <c r="W2" s="127"/>
      <c r="X2" s="3"/>
    </row>
    <row r="3" spans="1:27" ht="22.05" customHeight="1" x14ac:dyDescent="0.45">
      <c r="A3" s="3"/>
      <c r="B3" s="141" t="s">
        <v>2</v>
      </c>
      <c r="C3" s="127"/>
      <c r="D3" s="127"/>
      <c r="E3" s="127"/>
      <c r="F3" s="127"/>
      <c r="G3" s="127"/>
      <c r="H3" s="127"/>
      <c r="I3" s="127"/>
      <c r="J3" s="127"/>
      <c r="K3" s="127"/>
      <c r="L3" s="127"/>
      <c r="M3" s="127"/>
      <c r="N3" s="127"/>
      <c r="O3" s="127"/>
      <c r="P3" s="127"/>
      <c r="Q3" s="127"/>
      <c r="R3" s="127"/>
      <c r="S3" s="127"/>
      <c r="T3" s="127"/>
      <c r="U3" s="127"/>
      <c r="V3" s="127"/>
      <c r="W3" s="127"/>
      <c r="X3" s="3"/>
    </row>
    <row r="4" spans="1:27" ht="28.05" customHeight="1" x14ac:dyDescent="0.45">
      <c r="A4" s="4"/>
      <c r="B4" s="136" t="s">
        <v>706</v>
      </c>
      <c r="C4" s="127"/>
      <c r="D4" s="127"/>
      <c r="E4" s="127"/>
      <c r="F4" s="127"/>
      <c r="G4" s="127"/>
      <c r="H4" s="127"/>
      <c r="I4" s="127"/>
      <c r="J4" s="127"/>
      <c r="K4" s="127"/>
      <c r="L4" s="127"/>
      <c r="M4" s="127"/>
      <c r="N4" s="127"/>
      <c r="O4" s="127"/>
      <c r="P4" s="127"/>
      <c r="Q4" s="127"/>
      <c r="R4" s="127"/>
      <c r="S4" s="127"/>
      <c r="T4" s="127"/>
      <c r="U4" s="127"/>
      <c r="V4" s="127"/>
      <c r="W4" s="127"/>
      <c r="X4" s="4"/>
    </row>
    <row r="5" spans="1:27" ht="6" customHeight="1" x14ac:dyDescent="0.45">
      <c r="A5" s="1"/>
      <c r="B5" s="1"/>
      <c r="C5" s="1"/>
      <c r="D5" s="1"/>
      <c r="E5" s="1"/>
      <c r="F5" s="1"/>
      <c r="G5" s="1"/>
      <c r="H5" s="1"/>
      <c r="I5" s="1"/>
      <c r="J5" s="1"/>
      <c r="K5" s="1"/>
      <c r="L5" s="1"/>
      <c r="M5" s="1"/>
      <c r="N5" s="1"/>
      <c r="O5" s="1"/>
      <c r="P5" s="1"/>
      <c r="Q5" s="1"/>
      <c r="R5" s="1"/>
      <c r="S5" s="1"/>
      <c r="T5" s="1"/>
      <c r="U5" s="1"/>
      <c r="V5" s="1"/>
      <c r="W5" s="1"/>
      <c r="X5" s="1"/>
    </row>
    <row r="6" spans="1:27" ht="49.05" customHeight="1" x14ac:dyDescent="0.45">
      <c r="A6" s="5"/>
      <c r="B6" s="158" t="s">
        <v>707</v>
      </c>
      <c r="C6" s="143"/>
      <c r="D6" s="154"/>
      <c r="E6" s="159">
        <f>IFERROR(Cover!C13+14,"Enter Assessment Completion Date on Cover sheet")</f>
        <v>14</v>
      </c>
      <c r="F6" s="143"/>
      <c r="G6" s="154"/>
      <c r="H6" s="160" t="s">
        <v>708</v>
      </c>
      <c r="I6" s="143"/>
      <c r="J6" s="154"/>
      <c r="X6" s="5"/>
    </row>
    <row r="7" spans="1:27" ht="6" customHeight="1" x14ac:dyDescent="0.45">
      <c r="A7" s="1"/>
      <c r="B7" s="1"/>
      <c r="C7" s="1"/>
      <c r="D7" s="1"/>
      <c r="E7" s="1"/>
      <c r="F7" s="1"/>
      <c r="G7" s="1"/>
      <c r="H7" s="1"/>
      <c r="I7" s="1"/>
      <c r="J7" s="1"/>
      <c r="K7" s="1"/>
      <c r="L7" s="1"/>
      <c r="M7" s="1"/>
      <c r="N7" s="1"/>
      <c r="O7" s="1"/>
      <c r="P7" s="1"/>
      <c r="Q7" s="1"/>
      <c r="R7" s="1"/>
      <c r="S7" s="1"/>
      <c r="T7" s="1"/>
      <c r="U7" s="1"/>
      <c r="V7" s="1"/>
      <c r="W7" s="1"/>
      <c r="X7" s="1"/>
    </row>
    <row r="8" spans="1:27" ht="19.05" customHeight="1" x14ac:dyDescent="0.45">
      <c r="A8" s="3"/>
      <c r="B8" s="156" t="s">
        <v>709</v>
      </c>
      <c r="C8" s="143"/>
      <c r="D8" s="143"/>
      <c r="E8" s="143"/>
      <c r="F8" s="143"/>
      <c r="G8" s="143"/>
      <c r="H8" s="143"/>
      <c r="I8" s="143"/>
      <c r="J8" s="154"/>
      <c r="L8" s="157" t="s">
        <v>710</v>
      </c>
      <c r="M8" s="143"/>
      <c r="N8" s="143"/>
      <c r="O8" s="143"/>
      <c r="P8" s="143"/>
      <c r="Q8" s="143"/>
      <c r="R8" s="143"/>
      <c r="S8" s="143"/>
      <c r="T8" s="143"/>
      <c r="U8" s="143"/>
      <c r="V8" s="143"/>
      <c r="W8" s="154"/>
      <c r="X8" s="3"/>
    </row>
    <row r="9" spans="1:27" ht="22.05" customHeight="1" x14ac:dyDescent="0.45">
      <c r="A9" s="3"/>
      <c r="B9" s="106" t="s">
        <v>682</v>
      </c>
      <c r="C9" s="106" t="s">
        <v>711</v>
      </c>
      <c r="D9" s="106" t="s">
        <v>712</v>
      </c>
      <c r="E9" s="106" t="s">
        <v>713</v>
      </c>
      <c r="F9" s="106" t="s">
        <v>714</v>
      </c>
      <c r="G9" s="106" t="s">
        <v>715</v>
      </c>
      <c r="H9" s="106" t="s">
        <v>716</v>
      </c>
      <c r="I9" s="106" t="s">
        <v>717</v>
      </c>
      <c r="J9" s="106" t="s">
        <v>718</v>
      </c>
      <c r="L9" s="107" t="s">
        <v>719</v>
      </c>
      <c r="M9" s="107" t="s">
        <v>720</v>
      </c>
      <c r="N9" s="107" t="s">
        <v>721</v>
      </c>
      <c r="O9" s="107" t="s">
        <v>722</v>
      </c>
      <c r="P9" s="107" t="s">
        <v>723</v>
      </c>
      <c r="Q9" s="107" t="s">
        <v>724</v>
      </c>
      <c r="R9" s="107" t="s">
        <v>725</v>
      </c>
      <c r="S9" s="107" t="s">
        <v>726</v>
      </c>
      <c r="T9" s="107" t="s">
        <v>727</v>
      </c>
      <c r="U9" s="107" t="s">
        <v>728</v>
      </c>
      <c r="V9" s="107" t="s">
        <v>729</v>
      </c>
      <c r="W9" s="107" t="s">
        <v>730</v>
      </c>
      <c r="X9" s="3"/>
    </row>
    <row r="10" spans="1:27" x14ac:dyDescent="0.45">
      <c r="A10" s="1"/>
      <c r="L10" s="108">
        <v>1</v>
      </c>
      <c r="M10" s="108">
        <v>2</v>
      </c>
      <c r="N10" s="108">
        <v>3</v>
      </c>
      <c r="O10" s="108">
        <v>4</v>
      </c>
      <c r="P10" s="108">
        <v>5</v>
      </c>
      <c r="Q10" s="108">
        <v>6</v>
      </c>
      <c r="R10" s="108">
        <v>7</v>
      </c>
      <c r="S10" s="108">
        <v>8</v>
      </c>
      <c r="T10" s="108">
        <v>9</v>
      </c>
      <c r="U10" s="108">
        <v>10</v>
      </c>
      <c r="V10" s="108">
        <v>11</v>
      </c>
      <c r="W10" s="108">
        <v>12</v>
      </c>
      <c r="X10" s="1"/>
    </row>
    <row r="11" spans="1:27" ht="20" customHeight="1" x14ac:dyDescent="0.45">
      <c r="A11" s="8"/>
      <c r="B11" s="109" t="str">
        <f>'Remediation Index'!B6</f>
        <v>GV.OC-01-M1</v>
      </c>
      <c r="C11" s="110" t="str">
        <f>'Remediation Index'!C6</f>
        <v>Govern</v>
      </c>
      <c r="D11" s="111" t="str">
        <f>'Remediation Index'!D6</f>
        <v>Mission and Cyber Risk Alignment</v>
      </c>
      <c r="E11" s="110" t="str">
        <f>'Remediation Index'!E6</f>
        <v>Not Assessed</v>
      </c>
      <c r="F11" s="112"/>
      <c r="G11" s="112"/>
      <c r="H11" s="113"/>
      <c r="I11" s="114"/>
      <c r="J11" s="114"/>
      <c r="L11" s="100"/>
      <c r="M11" s="100"/>
      <c r="N11" s="100"/>
      <c r="O11" s="100"/>
      <c r="P11" s="100"/>
      <c r="Q11" s="100"/>
      <c r="R11" s="100"/>
      <c r="S11" s="100"/>
      <c r="T11" s="100"/>
      <c r="U11" s="100"/>
      <c r="V11" s="100"/>
      <c r="W11" s="100"/>
      <c r="X11" s="8"/>
    </row>
    <row r="12" spans="1:27" ht="20" customHeight="1" x14ac:dyDescent="0.45">
      <c r="A12" s="5"/>
      <c r="B12" s="115" t="str">
        <f>'Remediation Index'!B7</f>
        <v>GV.OC-03-M1</v>
      </c>
      <c r="C12" s="116" t="str">
        <f>'Remediation Index'!C7</f>
        <v>Govern</v>
      </c>
      <c r="D12" s="117" t="str">
        <f>'Remediation Index'!D7</f>
        <v>Legal and Regulatory Requirements</v>
      </c>
      <c r="E12" s="116" t="str">
        <f>'Remediation Index'!E7</f>
        <v>Not Assessed</v>
      </c>
      <c r="F12" s="112"/>
      <c r="G12" s="112"/>
      <c r="H12" s="113"/>
      <c r="I12" s="114"/>
      <c r="J12" s="114"/>
      <c r="L12" s="102"/>
      <c r="M12" s="102"/>
      <c r="N12" s="102"/>
      <c r="O12" s="102"/>
      <c r="P12" s="102"/>
      <c r="Q12" s="102"/>
      <c r="R12" s="102"/>
      <c r="S12" s="102"/>
      <c r="T12" s="102"/>
      <c r="U12" s="102"/>
      <c r="V12" s="102"/>
      <c r="W12" s="102"/>
      <c r="X12" s="5"/>
    </row>
    <row r="13" spans="1:27" ht="20" customHeight="1" x14ac:dyDescent="0.45">
      <c r="A13" s="8"/>
      <c r="B13" s="109" t="str">
        <f>'Remediation Index'!B8</f>
        <v>GV.RR-02-M1</v>
      </c>
      <c r="C13" s="110" t="str">
        <f>'Remediation Index'!C8</f>
        <v>Govern</v>
      </c>
      <c r="D13" s="111" t="str">
        <f>'Remediation Index'!D8</f>
        <v>Cybersecurity Roles and Responsibilities</v>
      </c>
      <c r="E13" s="110" t="str">
        <f>'Remediation Index'!E8</f>
        <v>Not Assessed</v>
      </c>
      <c r="F13" s="112"/>
      <c r="G13" s="112"/>
      <c r="H13" s="113"/>
      <c r="I13" s="114"/>
      <c r="J13" s="114"/>
      <c r="L13" s="100"/>
      <c r="M13" s="100"/>
      <c r="N13" s="100"/>
      <c r="O13" s="100"/>
      <c r="P13" s="100"/>
      <c r="Q13" s="100"/>
      <c r="R13" s="100"/>
      <c r="S13" s="100"/>
      <c r="T13" s="100"/>
      <c r="U13" s="100"/>
      <c r="V13" s="100"/>
      <c r="W13" s="100"/>
      <c r="X13" s="8"/>
    </row>
    <row r="14" spans="1:27" ht="20" customHeight="1" x14ac:dyDescent="0.45">
      <c r="A14" s="5"/>
      <c r="B14" s="115" t="str">
        <f>'Remediation Index'!B9</f>
        <v>GV.OC-04-M1</v>
      </c>
      <c r="C14" s="116" t="str">
        <f>'Remediation Index'!C9</f>
        <v>Govern</v>
      </c>
      <c r="D14" s="117" t="str">
        <f>'Remediation Index'!D9</f>
        <v>Critical Asset Impact Assessment</v>
      </c>
      <c r="E14" s="116" t="str">
        <f>'Remediation Index'!E9</f>
        <v>Not Assessed</v>
      </c>
      <c r="F14" s="112"/>
      <c r="G14" s="112"/>
      <c r="H14" s="113"/>
      <c r="I14" s="114"/>
      <c r="J14" s="114"/>
      <c r="L14" s="102"/>
      <c r="M14" s="102"/>
      <c r="N14" s="102"/>
      <c r="O14" s="102"/>
      <c r="P14" s="102"/>
      <c r="Q14" s="102"/>
      <c r="R14" s="102"/>
      <c r="S14" s="102"/>
      <c r="T14" s="102"/>
      <c r="U14" s="102"/>
      <c r="V14" s="102"/>
      <c r="W14" s="102"/>
      <c r="X14" s="5"/>
    </row>
    <row r="15" spans="1:27" ht="20" customHeight="1" x14ac:dyDescent="0.45">
      <c r="A15" s="8"/>
      <c r="B15" s="109" t="str">
        <f>'Remediation Index'!B10</f>
        <v>GV.RM-04-M1</v>
      </c>
      <c r="C15" s="110" t="str">
        <f>'Remediation Index'!C10</f>
        <v>Govern</v>
      </c>
      <c r="D15" s="111" t="str">
        <f>'Remediation Index'!D10</f>
        <v>Cyber Insurance Evaluation</v>
      </c>
      <c r="E15" s="110" t="str">
        <f>'Remediation Index'!E10</f>
        <v>Not Assessed</v>
      </c>
      <c r="F15" s="112"/>
      <c r="G15" s="112"/>
      <c r="H15" s="113"/>
      <c r="I15" s="114"/>
      <c r="J15" s="114"/>
      <c r="L15" s="100"/>
      <c r="M15" s="100"/>
      <c r="N15" s="100"/>
      <c r="O15" s="100"/>
      <c r="P15" s="100"/>
      <c r="Q15" s="100"/>
      <c r="R15" s="100"/>
      <c r="S15" s="100"/>
      <c r="T15" s="100"/>
      <c r="U15" s="100"/>
      <c r="V15" s="100"/>
      <c r="W15" s="100"/>
      <c r="X15" s="8"/>
    </row>
    <row r="16" spans="1:27" ht="20" customHeight="1" x14ac:dyDescent="0.45">
      <c r="A16" s="5"/>
      <c r="B16" s="115" t="str">
        <f>'Remediation Index'!B11</f>
        <v>GV.SC-06-M1</v>
      </c>
      <c r="C16" s="116" t="str">
        <f>'Remediation Index'!C11</f>
        <v>Govern</v>
      </c>
      <c r="D16" s="117" t="str">
        <f>'Remediation Index'!D11</f>
        <v>Supplier Cyber Risk Due Diligence</v>
      </c>
      <c r="E16" s="116" t="str">
        <f>'Remediation Index'!E11</f>
        <v>Not Assessed</v>
      </c>
      <c r="F16" s="112"/>
      <c r="G16" s="112"/>
      <c r="H16" s="113"/>
      <c r="I16" s="114"/>
      <c r="J16" s="114"/>
      <c r="L16" s="102"/>
      <c r="M16" s="102"/>
      <c r="N16" s="102"/>
      <c r="O16" s="102"/>
      <c r="P16" s="102"/>
      <c r="Q16" s="102"/>
      <c r="R16" s="102"/>
      <c r="S16" s="102"/>
      <c r="T16" s="102"/>
      <c r="U16" s="102"/>
      <c r="V16" s="102"/>
      <c r="W16" s="102"/>
      <c r="X16" s="5"/>
    </row>
    <row r="17" spans="1:24" ht="20" customHeight="1" x14ac:dyDescent="0.45">
      <c r="A17" s="8"/>
      <c r="B17" s="109" t="str">
        <f>'Remediation Index'!B12</f>
        <v>GV.RM-03-M1</v>
      </c>
      <c r="C17" s="110" t="str">
        <f>'Remediation Index'!C12</f>
        <v>Govern</v>
      </c>
      <c r="D17" s="111" t="str">
        <f>'Remediation Index'!D12</f>
        <v>Enterprise Risk Integration</v>
      </c>
      <c r="E17" s="110" t="str">
        <f>'Remediation Index'!E12</f>
        <v>Not Assessed</v>
      </c>
      <c r="F17" s="112"/>
      <c r="G17" s="112"/>
      <c r="H17" s="113"/>
      <c r="I17" s="114"/>
      <c r="J17" s="114"/>
      <c r="L17" s="100"/>
      <c r="M17" s="100"/>
      <c r="N17" s="100"/>
      <c r="O17" s="100"/>
      <c r="P17" s="100"/>
      <c r="Q17" s="100"/>
      <c r="R17" s="100"/>
      <c r="S17" s="100"/>
      <c r="T17" s="100"/>
      <c r="U17" s="100"/>
      <c r="V17" s="100"/>
      <c r="W17" s="100"/>
      <c r="X17" s="8"/>
    </row>
    <row r="18" spans="1:24" ht="20" customHeight="1" x14ac:dyDescent="0.45">
      <c r="A18" s="5"/>
      <c r="B18" s="115" t="str">
        <f>'Remediation Index'!B13</f>
        <v>GV.RR-01-M1</v>
      </c>
      <c r="C18" s="116" t="str">
        <f>'Remediation Index'!C13</f>
        <v>Govern</v>
      </c>
      <c r="D18" s="117" t="str">
        <f>'Remediation Index'!D13</f>
        <v>Leadership Cybersecurity Culture</v>
      </c>
      <c r="E18" s="116" t="str">
        <f>'Remediation Index'!E13</f>
        <v>Not Assessed</v>
      </c>
      <c r="F18" s="112"/>
      <c r="G18" s="112"/>
      <c r="H18" s="113"/>
      <c r="I18" s="114"/>
      <c r="J18" s="114"/>
      <c r="L18" s="102"/>
      <c r="M18" s="102"/>
      <c r="N18" s="102"/>
      <c r="O18" s="102"/>
      <c r="P18" s="102"/>
      <c r="Q18" s="102"/>
      <c r="R18" s="102"/>
      <c r="S18" s="102"/>
      <c r="T18" s="102"/>
      <c r="U18" s="102"/>
      <c r="V18" s="102"/>
      <c r="W18" s="102"/>
      <c r="X18" s="5"/>
    </row>
    <row r="19" spans="1:24" ht="20" customHeight="1" x14ac:dyDescent="0.45">
      <c r="A19" s="8"/>
      <c r="B19" s="109" t="str">
        <f>'Remediation Index'!B14</f>
        <v>GV.PO-01-M1</v>
      </c>
      <c r="C19" s="110" t="str">
        <f>'Remediation Index'!C14</f>
        <v>Govern</v>
      </c>
      <c r="D19" s="111" t="str">
        <f>'Remediation Index'!D14</f>
        <v>Cybersecurity Policy</v>
      </c>
      <c r="E19" s="110" t="str">
        <f>'Remediation Index'!E14</f>
        <v>Not Assessed</v>
      </c>
      <c r="F19" s="112"/>
      <c r="G19" s="112"/>
      <c r="H19" s="113"/>
      <c r="I19" s="114"/>
      <c r="J19" s="114"/>
      <c r="L19" s="100"/>
      <c r="M19" s="100"/>
      <c r="N19" s="100"/>
      <c r="O19" s="100"/>
      <c r="P19" s="100"/>
      <c r="Q19" s="100"/>
      <c r="R19" s="100"/>
      <c r="S19" s="100"/>
      <c r="T19" s="100"/>
      <c r="U19" s="100"/>
      <c r="V19" s="100"/>
      <c r="W19" s="100"/>
      <c r="X19" s="8"/>
    </row>
    <row r="20" spans="1:24" ht="20" customHeight="1" x14ac:dyDescent="0.45">
      <c r="A20" s="5"/>
      <c r="B20" s="115" t="str">
        <f>'Remediation Index'!B15</f>
        <v>ID.AM-01-M1</v>
      </c>
      <c r="C20" s="116" t="str">
        <f>'Remediation Index'!C15</f>
        <v>Identify</v>
      </c>
      <c r="D20" s="117" t="str">
        <f>'Remediation Index'!D15</f>
        <v>Asset Inventory</v>
      </c>
      <c r="E20" s="116" t="str">
        <f>'Remediation Index'!E15</f>
        <v>Not Assessed</v>
      </c>
      <c r="F20" s="112"/>
      <c r="G20" s="112"/>
      <c r="H20" s="113"/>
      <c r="I20" s="114"/>
      <c r="J20" s="114"/>
      <c r="L20" s="102"/>
      <c r="M20" s="102"/>
      <c r="N20" s="102"/>
      <c r="O20" s="102"/>
      <c r="P20" s="102"/>
      <c r="Q20" s="102"/>
      <c r="R20" s="102"/>
      <c r="S20" s="102"/>
      <c r="T20" s="102"/>
      <c r="U20" s="102"/>
      <c r="V20" s="102"/>
      <c r="W20" s="102"/>
      <c r="X20" s="5"/>
    </row>
    <row r="21" spans="1:24" ht="20" customHeight="1" x14ac:dyDescent="0.45">
      <c r="A21" s="8"/>
      <c r="B21" s="109" t="str">
        <f>'Remediation Index'!B16</f>
        <v>ID.RA-01-M1</v>
      </c>
      <c r="C21" s="110" t="str">
        <f>'Remediation Index'!C16</f>
        <v>Identify</v>
      </c>
      <c r="D21" s="111" t="str">
        <f>'Remediation Index'!D16</f>
        <v>Vulnerability Identification</v>
      </c>
      <c r="E21" s="110" t="str">
        <f>'Remediation Index'!E16</f>
        <v>Not Assessed</v>
      </c>
      <c r="F21" s="112"/>
      <c r="G21" s="112"/>
      <c r="H21" s="113"/>
      <c r="I21" s="114"/>
      <c r="J21" s="114"/>
      <c r="L21" s="100"/>
      <c r="M21" s="100"/>
      <c r="N21" s="100"/>
      <c r="O21" s="100"/>
      <c r="P21" s="100"/>
      <c r="Q21" s="100"/>
      <c r="R21" s="100"/>
      <c r="S21" s="100"/>
      <c r="T21" s="100"/>
      <c r="U21" s="100"/>
      <c r="V21" s="100"/>
      <c r="W21" s="100"/>
      <c r="X21" s="8"/>
    </row>
    <row r="22" spans="1:24" ht="20" customHeight="1" x14ac:dyDescent="0.45">
      <c r="A22" s="5"/>
      <c r="B22" s="115" t="str">
        <f>'Remediation Index'!B17</f>
        <v>ID.IM-01-M1</v>
      </c>
      <c r="C22" s="116" t="str">
        <f>'Remediation Index'!C17</f>
        <v>Identify</v>
      </c>
      <c r="D22" s="117" t="str">
        <f>'Remediation Index'!D17</f>
        <v>Cybersecurity Program Effectiveness</v>
      </c>
      <c r="E22" s="116" t="str">
        <f>'Remediation Index'!E17</f>
        <v>Not Assessed</v>
      </c>
      <c r="F22" s="112"/>
      <c r="G22" s="112"/>
      <c r="H22" s="113"/>
      <c r="I22" s="114"/>
      <c r="J22" s="114"/>
      <c r="L22" s="102"/>
      <c r="M22" s="102"/>
      <c r="N22" s="102"/>
      <c r="O22" s="102"/>
      <c r="P22" s="102"/>
      <c r="Q22" s="102"/>
      <c r="R22" s="102"/>
      <c r="S22" s="102"/>
      <c r="T22" s="102"/>
      <c r="U22" s="102"/>
      <c r="V22" s="102"/>
      <c r="W22" s="102"/>
      <c r="X22" s="5"/>
    </row>
    <row r="23" spans="1:24" ht="20" customHeight="1" x14ac:dyDescent="0.45">
      <c r="A23" s="8"/>
      <c r="B23" s="109" t="str">
        <f>'Remediation Index'!B18</f>
        <v>ID.AM-07-M1</v>
      </c>
      <c r="C23" s="110" t="str">
        <f>'Remediation Index'!C18</f>
        <v>Identify</v>
      </c>
      <c r="D23" s="111" t="str">
        <f>'Remediation Index'!D18</f>
        <v>Data Inventory and Classification</v>
      </c>
      <c r="E23" s="110" t="str">
        <f>'Remediation Index'!E18</f>
        <v>Not Assessed</v>
      </c>
      <c r="F23" s="112"/>
      <c r="G23" s="112"/>
      <c r="H23" s="113"/>
      <c r="I23" s="114"/>
      <c r="J23" s="114"/>
      <c r="L23" s="100"/>
      <c r="M23" s="100"/>
      <c r="N23" s="100"/>
      <c r="O23" s="100"/>
      <c r="P23" s="100"/>
      <c r="Q23" s="100"/>
      <c r="R23" s="100"/>
      <c r="S23" s="100"/>
      <c r="T23" s="100"/>
      <c r="U23" s="100"/>
      <c r="V23" s="100"/>
      <c r="W23" s="100"/>
      <c r="X23" s="8"/>
    </row>
    <row r="24" spans="1:24" ht="20" customHeight="1" x14ac:dyDescent="0.45">
      <c r="A24" s="5"/>
      <c r="B24" s="115" t="str">
        <f>'Remediation Index'!B19</f>
        <v>ID.RA-05-M1</v>
      </c>
      <c r="C24" s="116" t="str">
        <f>'Remediation Index'!C19</f>
        <v>Identify</v>
      </c>
      <c r="D24" s="117" t="str">
        <f>'Remediation Index'!D19</f>
        <v>Threat and Risk Register</v>
      </c>
      <c r="E24" s="116" t="str">
        <f>'Remediation Index'!E19</f>
        <v>Not Assessed</v>
      </c>
      <c r="F24" s="112"/>
      <c r="G24" s="112"/>
      <c r="H24" s="113"/>
      <c r="I24" s="114"/>
      <c r="J24" s="114"/>
      <c r="L24" s="102"/>
      <c r="M24" s="102"/>
      <c r="N24" s="102"/>
      <c r="O24" s="102"/>
      <c r="P24" s="102"/>
      <c r="Q24" s="102"/>
      <c r="R24" s="102"/>
      <c r="S24" s="102"/>
      <c r="T24" s="102"/>
      <c r="U24" s="102"/>
      <c r="V24" s="102"/>
      <c r="W24" s="102"/>
      <c r="X24" s="5"/>
    </row>
    <row r="25" spans="1:24" ht="20" customHeight="1" x14ac:dyDescent="0.45">
      <c r="A25" s="8"/>
      <c r="B25" s="109" t="str">
        <f>'Remediation Index'!B20</f>
        <v>ID.IM-04-M1</v>
      </c>
      <c r="C25" s="110" t="str">
        <f>'Remediation Index'!C20</f>
        <v>Identify</v>
      </c>
      <c r="D25" s="111" t="str">
        <f>'Remediation Index'!D20</f>
        <v>Cybersecurity Communication to Staff</v>
      </c>
      <c r="E25" s="110" t="str">
        <f>'Remediation Index'!E20</f>
        <v>Not Assessed</v>
      </c>
      <c r="F25" s="112"/>
      <c r="G25" s="112"/>
      <c r="H25" s="113"/>
      <c r="I25" s="114"/>
      <c r="J25" s="114"/>
      <c r="L25" s="100"/>
      <c r="M25" s="100"/>
      <c r="N25" s="100"/>
      <c r="O25" s="100"/>
      <c r="P25" s="100"/>
      <c r="Q25" s="100"/>
      <c r="R25" s="100"/>
      <c r="S25" s="100"/>
      <c r="T25" s="100"/>
      <c r="U25" s="100"/>
      <c r="V25" s="100"/>
      <c r="W25" s="100"/>
      <c r="X25" s="8"/>
    </row>
    <row r="26" spans="1:24" ht="20" customHeight="1" x14ac:dyDescent="0.45">
      <c r="A26" s="5"/>
      <c r="B26" s="115" t="str">
        <f>'Remediation Index'!B21</f>
        <v>PR.AA-05-M1</v>
      </c>
      <c r="C26" s="116" t="str">
        <f>'Remediation Index'!C21</f>
        <v>Protect</v>
      </c>
      <c r="D26" s="117" t="str">
        <f>'Remediation Index'!D21</f>
        <v>Access Control and Least Privilege</v>
      </c>
      <c r="E26" s="116" t="str">
        <f>'Remediation Index'!E21</f>
        <v>Not Assessed</v>
      </c>
      <c r="F26" s="112"/>
      <c r="G26" s="112"/>
      <c r="H26" s="113"/>
      <c r="I26" s="114"/>
      <c r="J26" s="114"/>
      <c r="L26" s="102"/>
      <c r="M26" s="102"/>
      <c r="N26" s="102"/>
      <c r="O26" s="102"/>
      <c r="P26" s="102"/>
      <c r="Q26" s="102"/>
      <c r="R26" s="102"/>
      <c r="S26" s="102"/>
      <c r="T26" s="102"/>
      <c r="U26" s="102"/>
      <c r="V26" s="102"/>
      <c r="W26" s="102"/>
      <c r="X26" s="5"/>
    </row>
    <row r="27" spans="1:24" ht="20" customHeight="1" x14ac:dyDescent="0.45">
      <c r="A27" s="8"/>
      <c r="B27" s="109" t="str">
        <f>'Remediation Index'!B22</f>
        <v>PR.AT-01-M1</v>
      </c>
      <c r="C27" s="110" t="str">
        <f>'Remediation Index'!C22</f>
        <v>Protect</v>
      </c>
      <c r="D27" s="111" t="str">
        <f>'Remediation Index'!D22</f>
        <v>Security Awareness Training</v>
      </c>
      <c r="E27" s="110" t="str">
        <f>'Remediation Index'!E22</f>
        <v>Not Assessed</v>
      </c>
      <c r="F27" s="112"/>
      <c r="G27" s="112"/>
      <c r="H27" s="113"/>
      <c r="I27" s="114"/>
      <c r="J27" s="114"/>
      <c r="L27" s="100"/>
      <c r="M27" s="100"/>
      <c r="N27" s="100"/>
      <c r="O27" s="100"/>
      <c r="P27" s="100"/>
      <c r="Q27" s="100"/>
      <c r="R27" s="100"/>
      <c r="S27" s="100"/>
      <c r="T27" s="100"/>
      <c r="U27" s="100"/>
      <c r="V27" s="100"/>
      <c r="W27" s="100"/>
      <c r="X27" s="8"/>
    </row>
    <row r="28" spans="1:24" ht="20" customHeight="1" x14ac:dyDescent="0.45">
      <c r="A28" s="5"/>
      <c r="B28" s="115" t="str">
        <f>'Remediation Index'!B23</f>
        <v>PR.AA-03-M1</v>
      </c>
      <c r="C28" s="116" t="str">
        <f>'Remediation Index'!C23</f>
        <v>Protect</v>
      </c>
      <c r="D28" s="117" t="str">
        <f>'Remediation Index'!D23</f>
        <v>Multi-Factor Authentication</v>
      </c>
      <c r="E28" s="116" t="str">
        <f>'Remediation Index'!E23</f>
        <v>Not Assessed</v>
      </c>
      <c r="F28" s="112"/>
      <c r="G28" s="112"/>
      <c r="H28" s="113"/>
      <c r="I28" s="114"/>
      <c r="J28" s="114"/>
      <c r="L28" s="102"/>
      <c r="M28" s="102"/>
      <c r="N28" s="102"/>
      <c r="O28" s="102"/>
      <c r="P28" s="102"/>
      <c r="Q28" s="102"/>
      <c r="R28" s="102"/>
      <c r="S28" s="102"/>
      <c r="T28" s="102"/>
      <c r="U28" s="102"/>
      <c r="V28" s="102"/>
      <c r="W28" s="102"/>
      <c r="X28" s="5"/>
    </row>
    <row r="29" spans="1:24" ht="20" customHeight="1" x14ac:dyDescent="0.45">
      <c r="A29" s="8"/>
      <c r="B29" s="109" t="str">
        <f>'Remediation Index'!B24</f>
        <v>PR.AA-01-M1</v>
      </c>
      <c r="C29" s="110" t="str">
        <f>'Remediation Index'!C24</f>
        <v>Protect</v>
      </c>
      <c r="D29" s="111" t="str">
        <f>'Remediation Index'!D24</f>
        <v>Credential and Password Management</v>
      </c>
      <c r="E29" s="110" t="str">
        <f>'Remediation Index'!E24</f>
        <v>Not Assessed</v>
      </c>
      <c r="F29" s="112"/>
      <c r="G29" s="112"/>
      <c r="H29" s="113"/>
      <c r="I29" s="114"/>
      <c r="J29" s="114"/>
      <c r="L29" s="100"/>
      <c r="M29" s="100"/>
      <c r="N29" s="100"/>
      <c r="O29" s="100"/>
      <c r="P29" s="100"/>
      <c r="Q29" s="100"/>
      <c r="R29" s="100"/>
      <c r="S29" s="100"/>
      <c r="T29" s="100"/>
      <c r="U29" s="100"/>
      <c r="V29" s="100"/>
      <c r="W29" s="100"/>
      <c r="X29" s="8"/>
    </row>
    <row r="30" spans="1:24" ht="20" customHeight="1" x14ac:dyDescent="0.45">
      <c r="A30" s="5"/>
      <c r="B30" s="115" t="str">
        <f>'Remediation Index'!B25</f>
        <v>PR.PS-02-M1</v>
      </c>
      <c r="C30" s="116" t="str">
        <f>'Remediation Index'!C25</f>
        <v>Protect</v>
      </c>
      <c r="D30" s="117" t="str">
        <f>'Remediation Index'!D25</f>
        <v>Software Patching and Updates</v>
      </c>
      <c r="E30" s="116" t="str">
        <f>'Remediation Index'!E25</f>
        <v>Not Assessed</v>
      </c>
      <c r="F30" s="112"/>
      <c r="G30" s="112"/>
      <c r="H30" s="113"/>
      <c r="I30" s="114"/>
      <c r="J30" s="114"/>
      <c r="L30" s="102"/>
      <c r="M30" s="102"/>
      <c r="N30" s="102"/>
      <c r="O30" s="102"/>
      <c r="P30" s="102"/>
      <c r="Q30" s="102"/>
      <c r="R30" s="102"/>
      <c r="S30" s="102"/>
      <c r="T30" s="102"/>
      <c r="U30" s="102"/>
      <c r="V30" s="102"/>
      <c r="W30" s="102"/>
      <c r="X30" s="5"/>
    </row>
    <row r="31" spans="1:24" ht="20" customHeight="1" x14ac:dyDescent="0.45">
      <c r="A31" s="8"/>
      <c r="B31" s="109" t="str">
        <f>'Remediation Index'!B26</f>
        <v>PR.DS-11-M1</v>
      </c>
      <c r="C31" s="110" t="str">
        <f>'Remediation Index'!C26</f>
        <v>Protect</v>
      </c>
      <c r="D31" s="111" t="str">
        <f>'Remediation Index'!D26</f>
        <v>Data Backup and Recovery Testing</v>
      </c>
      <c r="E31" s="110" t="str">
        <f>'Remediation Index'!E26</f>
        <v>Not Assessed</v>
      </c>
      <c r="F31" s="112"/>
      <c r="G31" s="112"/>
      <c r="H31" s="113"/>
      <c r="I31" s="114"/>
      <c r="J31" s="114"/>
      <c r="L31" s="100"/>
      <c r="M31" s="100"/>
      <c r="N31" s="100"/>
      <c r="O31" s="100"/>
      <c r="P31" s="100"/>
      <c r="Q31" s="100"/>
      <c r="R31" s="100"/>
      <c r="S31" s="100"/>
      <c r="T31" s="100"/>
      <c r="U31" s="100"/>
      <c r="V31" s="100"/>
      <c r="W31" s="100"/>
      <c r="X31" s="8"/>
    </row>
    <row r="32" spans="1:24" ht="20" customHeight="1" x14ac:dyDescent="0.45">
      <c r="A32" s="5"/>
      <c r="B32" s="115" t="str">
        <f>'Remediation Index'!B27</f>
        <v>PR.DS-01-M1</v>
      </c>
      <c r="C32" s="116" t="str">
        <f>'Remediation Index'!C27</f>
        <v>Protect</v>
      </c>
      <c r="D32" s="117" t="str">
        <f>'Remediation Index'!D27</f>
        <v>Device Encryption</v>
      </c>
      <c r="E32" s="116" t="str">
        <f>'Remediation Index'!E27</f>
        <v>Not Assessed</v>
      </c>
      <c r="F32" s="112"/>
      <c r="G32" s="112"/>
      <c r="H32" s="113"/>
      <c r="I32" s="114"/>
      <c r="J32" s="114"/>
      <c r="L32" s="102"/>
      <c r="M32" s="102"/>
      <c r="N32" s="102"/>
      <c r="O32" s="102"/>
      <c r="P32" s="102"/>
      <c r="Q32" s="102"/>
      <c r="R32" s="102"/>
      <c r="S32" s="102"/>
      <c r="T32" s="102"/>
      <c r="U32" s="102"/>
      <c r="V32" s="102"/>
      <c r="W32" s="102"/>
      <c r="X32" s="5"/>
    </row>
    <row r="33" spans="1:24" ht="20" customHeight="1" x14ac:dyDescent="0.45">
      <c r="A33" s="8"/>
      <c r="B33" s="109" t="str">
        <f>'Remediation Index'!B28</f>
        <v>DE.CM-01-M1</v>
      </c>
      <c r="C33" s="110" t="str">
        <f>'Remediation Index'!C28</f>
        <v>Detect</v>
      </c>
      <c r="D33" s="111" t="str">
        <f>'Remediation Index'!D28</f>
        <v>Incident Indicator Awareness</v>
      </c>
      <c r="E33" s="110" t="str">
        <f>'Remediation Index'!E28</f>
        <v>Not Assessed</v>
      </c>
      <c r="F33" s="112"/>
      <c r="G33" s="112"/>
      <c r="H33" s="113"/>
      <c r="I33" s="114"/>
      <c r="J33" s="114"/>
      <c r="L33" s="100"/>
      <c r="M33" s="100"/>
      <c r="N33" s="100"/>
      <c r="O33" s="100"/>
      <c r="P33" s="100"/>
      <c r="Q33" s="100"/>
      <c r="R33" s="100"/>
      <c r="S33" s="100"/>
      <c r="T33" s="100"/>
      <c r="U33" s="100"/>
      <c r="V33" s="100"/>
      <c r="W33" s="100"/>
      <c r="X33" s="8"/>
    </row>
    <row r="34" spans="1:24" ht="20" customHeight="1" x14ac:dyDescent="0.45">
      <c r="A34" s="5"/>
      <c r="B34" s="115" t="str">
        <f>'Remediation Index'!B29</f>
        <v>DE.CM-06-M1</v>
      </c>
      <c r="C34" s="116" t="str">
        <f>'Remediation Index'!C29</f>
        <v>Detect</v>
      </c>
      <c r="D34" s="117" t="str">
        <f>'Remediation Index'!D29</f>
        <v>Technology and Services Monitoring</v>
      </c>
      <c r="E34" s="116" t="str">
        <f>'Remediation Index'!E29</f>
        <v>Not Assessed</v>
      </c>
      <c r="F34" s="112"/>
      <c r="G34" s="112"/>
      <c r="H34" s="113"/>
      <c r="I34" s="114"/>
      <c r="J34" s="114"/>
      <c r="L34" s="102"/>
      <c r="M34" s="102"/>
      <c r="N34" s="102"/>
      <c r="O34" s="102"/>
      <c r="P34" s="102"/>
      <c r="Q34" s="102"/>
      <c r="R34" s="102"/>
      <c r="S34" s="102"/>
      <c r="T34" s="102"/>
      <c r="U34" s="102"/>
      <c r="V34" s="102"/>
      <c r="W34" s="102"/>
      <c r="X34" s="5"/>
    </row>
    <row r="35" spans="1:24" ht="20" customHeight="1" x14ac:dyDescent="0.45">
      <c r="A35" s="8"/>
      <c r="B35" s="109" t="str">
        <f>'Remediation Index'!B30</f>
        <v>DE.CM-02-M1</v>
      </c>
      <c r="C35" s="110" t="str">
        <f>'Remediation Index'!C30</f>
        <v>Detect</v>
      </c>
      <c r="D35" s="111" t="str">
        <f>'Remediation Index'!D30</f>
        <v>Physical Environment Monitoring</v>
      </c>
      <c r="E35" s="110" t="str">
        <f>'Remediation Index'!E30</f>
        <v>Not Assessed</v>
      </c>
      <c r="F35" s="112"/>
      <c r="G35" s="112"/>
      <c r="H35" s="113"/>
      <c r="I35" s="114"/>
      <c r="J35" s="114"/>
      <c r="L35" s="100"/>
      <c r="M35" s="100"/>
      <c r="N35" s="100"/>
      <c r="O35" s="100"/>
      <c r="P35" s="100"/>
      <c r="Q35" s="100"/>
      <c r="R35" s="100"/>
      <c r="S35" s="100"/>
      <c r="T35" s="100"/>
      <c r="U35" s="100"/>
      <c r="V35" s="100"/>
      <c r="W35" s="100"/>
      <c r="X35" s="8"/>
    </row>
    <row r="36" spans="1:24" ht="20" customHeight="1" x14ac:dyDescent="0.45">
      <c r="A36" s="5"/>
      <c r="B36" s="115" t="str">
        <f>'Remediation Index'!B31</f>
        <v>DE.CM-09-M1</v>
      </c>
      <c r="C36" s="116" t="str">
        <f>'Remediation Index'!C31</f>
        <v>Detect</v>
      </c>
      <c r="D36" s="117" t="str">
        <f>'Remediation Index'!D31</f>
        <v>Endpoint Protection</v>
      </c>
      <c r="E36" s="116" t="str">
        <f>'Remediation Index'!E31</f>
        <v>Not Assessed</v>
      </c>
      <c r="F36" s="112"/>
      <c r="G36" s="112"/>
      <c r="H36" s="113"/>
      <c r="I36" s="114"/>
      <c r="J36" s="114"/>
      <c r="L36" s="102"/>
      <c r="M36" s="102"/>
      <c r="N36" s="102"/>
      <c r="O36" s="102"/>
      <c r="P36" s="102"/>
      <c r="Q36" s="102"/>
      <c r="R36" s="102"/>
      <c r="S36" s="102"/>
      <c r="T36" s="102"/>
      <c r="U36" s="102"/>
      <c r="V36" s="102"/>
      <c r="W36" s="102"/>
      <c r="X36" s="5"/>
    </row>
    <row r="37" spans="1:24" ht="20" customHeight="1" x14ac:dyDescent="0.45">
      <c r="A37" s="8"/>
      <c r="B37" s="109" t="str">
        <f>'Remediation Index'!B32</f>
        <v>DE.AE-06-M1</v>
      </c>
      <c r="C37" s="110" t="str">
        <f>'Remediation Index'!C32</f>
        <v>Detect</v>
      </c>
      <c r="D37" s="111" t="str">
        <f>'Remediation Index'!D32</f>
        <v>Incident Responder Communication and Analysis</v>
      </c>
      <c r="E37" s="110" t="str">
        <f>'Remediation Index'!E32</f>
        <v>Not Assessed</v>
      </c>
      <c r="F37" s="112"/>
      <c r="G37" s="112"/>
      <c r="H37" s="113"/>
      <c r="I37" s="114"/>
      <c r="J37" s="114"/>
      <c r="L37" s="100"/>
      <c r="M37" s="100"/>
      <c r="N37" s="100"/>
      <c r="O37" s="100"/>
      <c r="P37" s="100"/>
      <c r="Q37" s="100"/>
      <c r="R37" s="100"/>
      <c r="S37" s="100"/>
      <c r="T37" s="100"/>
      <c r="U37" s="100"/>
      <c r="V37" s="100"/>
      <c r="W37" s="100"/>
      <c r="X37" s="8"/>
    </row>
    <row r="38" spans="1:24" ht="20" customHeight="1" x14ac:dyDescent="0.45">
      <c r="A38" s="5"/>
      <c r="B38" s="115" t="str">
        <f>'Remediation Index'!B33</f>
        <v>RS.MA-01-M1</v>
      </c>
      <c r="C38" s="116" t="str">
        <f>'Remediation Index'!C33</f>
        <v>Respond</v>
      </c>
      <c r="D38" s="117" t="str">
        <f>'Remediation Index'!D33</f>
        <v>Incident Response Plan Documentation</v>
      </c>
      <c r="E38" s="116" t="str">
        <f>'Remediation Index'!E33</f>
        <v>Not Assessed</v>
      </c>
      <c r="F38" s="112"/>
      <c r="G38" s="112"/>
      <c r="H38" s="113"/>
      <c r="I38" s="114"/>
      <c r="J38" s="114"/>
      <c r="L38" s="102"/>
      <c r="M38" s="102"/>
      <c r="N38" s="102"/>
      <c r="O38" s="102"/>
      <c r="P38" s="102"/>
      <c r="Q38" s="102"/>
      <c r="R38" s="102"/>
      <c r="S38" s="102"/>
      <c r="T38" s="102"/>
      <c r="U38" s="102"/>
      <c r="V38" s="102"/>
      <c r="W38" s="102"/>
      <c r="X38" s="5"/>
    </row>
    <row r="39" spans="1:24" ht="20" customHeight="1" x14ac:dyDescent="0.45">
      <c r="A39" s="8"/>
      <c r="B39" s="109" t="str">
        <f>'Remediation Index'!B34</f>
        <v>RS.MA-01-M2</v>
      </c>
      <c r="C39" s="110" t="str">
        <f>'Remediation Index'!C34</f>
        <v>Respond</v>
      </c>
      <c r="D39" s="111" t="str">
        <f>'Remediation Index'!D34</f>
        <v>Incident Response Capability Testing</v>
      </c>
      <c r="E39" s="110" t="str">
        <f>'Remediation Index'!E34</f>
        <v>Not Assessed</v>
      </c>
      <c r="F39" s="112"/>
      <c r="G39" s="112"/>
      <c r="H39" s="113"/>
      <c r="I39" s="114"/>
      <c r="J39" s="114"/>
      <c r="L39" s="100"/>
      <c r="M39" s="100"/>
      <c r="N39" s="100"/>
      <c r="O39" s="100"/>
      <c r="P39" s="100"/>
      <c r="Q39" s="100"/>
      <c r="R39" s="100"/>
      <c r="S39" s="100"/>
      <c r="T39" s="100"/>
      <c r="U39" s="100"/>
      <c r="V39" s="100"/>
      <c r="W39" s="100"/>
      <c r="X39" s="8"/>
    </row>
    <row r="40" spans="1:24" ht="20" customHeight="1" x14ac:dyDescent="0.45">
      <c r="A40" s="5"/>
      <c r="B40" s="115" t="str">
        <f>'Remediation Index'!B35</f>
        <v>RS.AN-03-M1</v>
      </c>
      <c r="C40" s="116" t="str">
        <f>'Remediation Index'!C35</f>
        <v>Respond</v>
      </c>
      <c r="D40" s="117" t="str">
        <f>'Remediation Index'!D35</f>
        <v>Incident Severity Analysis and Root Cause</v>
      </c>
      <c r="E40" s="116" t="str">
        <f>'Remediation Index'!E35</f>
        <v>Not Assessed</v>
      </c>
      <c r="F40" s="112"/>
      <c r="G40" s="112"/>
      <c r="H40" s="113"/>
      <c r="I40" s="114"/>
      <c r="J40" s="114"/>
      <c r="L40" s="102"/>
      <c r="M40" s="102"/>
      <c r="N40" s="102"/>
      <c r="O40" s="102"/>
      <c r="P40" s="102"/>
      <c r="Q40" s="102"/>
      <c r="R40" s="102"/>
      <c r="S40" s="102"/>
      <c r="T40" s="102"/>
      <c r="U40" s="102"/>
      <c r="V40" s="102"/>
      <c r="W40" s="102"/>
      <c r="X40" s="5"/>
    </row>
    <row r="41" spans="1:24" ht="20" customHeight="1" x14ac:dyDescent="0.45">
      <c r="A41" s="8"/>
      <c r="B41" s="109" t="str">
        <f>'Remediation Index'!B36</f>
        <v>RS.MI-01-M1</v>
      </c>
      <c r="C41" s="110" t="str">
        <f>'Remediation Index'!C36</f>
        <v>Respond</v>
      </c>
      <c r="D41" s="111" t="str">
        <f>'Remediation Index'!D36</f>
        <v>Incident Containment and Eradication</v>
      </c>
      <c r="E41" s="110" t="str">
        <f>'Remediation Index'!E36</f>
        <v>Not Assessed</v>
      </c>
      <c r="F41" s="112"/>
      <c r="G41" s="112"/>
      <c r="H41" s="113"/>
      <c r="I41" s="114"/>
      <c r="J41" s="114"/>
      <c r="L41" s="100"/>
      <c r="M41" s="100"/>
      <c r="N41" s="100"/>
      <c r="O41" s="100"/>
      <c r="P41" s="100"/>
      <c r="Q41" s="100"/>
      <c r="R41" s="100"/>
      <c r="S41" s="100"/>
      <c r="T41" s="100"/>
      <c r="U41" s="100"/>
      <c r="V41" s="100"/>
      <c r="W41" s="100"/>
      <c r="X41" s="8"/>
    </row>
    <row r="42" spans="1:24" ht="20" customHeight="1" x14ac:dyDescent="0.45">
      <c r="A42" s="5"/>
      <c r="B42" s="115" t="str">
        <f>'Remediation Index'!B37</f>
        <v>RS.CO-02-M1</v>
      </c>
      <c r="C42" s="116" t="str">
        <f>'Remediation Index'!C37</f>
        <v>Respond</v>
      </c>
      <c r="D42" s="117" t="str">
        <f>'Remediation Index'!D37</f>
        <v>Incident Stakeholder Notification</v>
      </c>
      <c r="E42" s="116" t="str">
        <f>'Remediation Index'!E37</f>
        <v>Not Assessed</v>
      </c>
      <c r="F42" s="112"/>
      <c r="G42" s="112"/>
      <c r="H42" s="113"/>
      <c r="I42" s="114"/>
      <c r="J42" s="114"/>
      <c r="L42" s="102"/>
      <c r="M42" s="102"/>
      <c r="N42" s="102"/>
      <c r="O42" s="102"/>
      <c r="P42" s="102"/>
      <c r="Q42" s="102"/>
      <c r="R42" s="102"/>
      <c r="S42" s="102"/>
      <c r="T42" s="102"/>
      <c r="U42" s="102"/>
      <c r="V42" s="102"/>
      <c r="W42" s="102"/>
      <c r="X42" s="5"/>
    </row>
    <row r="43" spans="1:24" ht="20" customHeight="1" x14ac:dyDescent="0.45">
      <c r="A43" s="8"/>
      <c r="B43" s="109" t="str">
        <f>'Remediation Index'!B38</f>
        <v>RC.RP-01-M1</v>
      </c>
      <c r="C43" s="110" t="str">
        <f>'Remediation Index'!C38</f>
        <v>Recover</v>
      </c>
      <c r="D43" s="111" t="str">
        <f>'Remediation Index'!D38</f>
        <v>Recovery Responsibilities Definition</v>
      </c>
      <c r="E43" s="110" t="str">
        <f>'Remediation Index'!E38</f>
        <v>Not Assessed</v>
      </c>
      <c r="F43" s="112"/>
      <c r="G43" s="112"/>
      <c r="H43" s="113"/>
      <c r="I43" s="114"/>
      <c r="J43" s="114"/>
      <c r="L43" s="100"/>
      <c r="M43" s="100"/>
      <c r="N43" s="100"/>
      <c r="O43" s="100"/>
      <c r="P43" s="100"/>
      <c r="Q43" s="100"/>
      <c r="R43" s="100"/>
      <c r="S43" s="100"/>
      <c r="T43" s="100"/>
      <c r="U43" s="100"/>
      <c r="V43" s="100"/>
      <c r="W43" s="100"/>
      <c r="X43" s="8"/>
    </row>
    <row r="44" spans="1:24" ht="20" customHeight="1" x14ac:dyDescent="0.45">
      <c r="A44" s="5"/>
      <c r="B44" s="115" t="str">
        <f>'Remediation Index'!B39</f>
        <v>RC.RP-06-M1</v>
      </c>
      <c r="C44" s="116" t="str">
        <f>'Remediation Index'!C39</f>
        <v>Recover</v>
      </c>
      <c r="D44" s="117" t="str">
        <f>'Remediation Index'!D39</f>
        <v>After-Action Reporting</v>
      </c>
      <c r="E44" s="116" t="str">
        <f>'Remediation Index'!E39</f>
        <v>Not Assessed</v>
      </c>
      <c r="F44" s="112"/>
      <c r="G44" s="112"/>
      <c r="H44" s="113"/>
      <c r="I44" s="114"/>
      <c r="J44" s="114"/>
      <c r="L44" s="102"/>
      <c r="M44" s="102"/>
      <c r="N44" s="102"/>
      <c r="O44" s="102"/>
      <c r="P44" s="102"/>
      <c r="Q44" s="102"/>
      <c r="R44" s="102"/>
      <c r="S44" s="102"/>
      <c r="T44" s="102"/>
      <c r="U44" s="102"/>
      <c r="V44" s="102"/>
      <c r="W44" s="102"/>
      <c r="X44" s="5"/>
    </row>
    <row r="45" spans="1:24" ht="20" customHeight="1" x14ac:dyDescent="0.45">
      <c r="A45" s="8"/>
      <c r="B45" s="109" t="str">
        <f>'Remediation Index'!B40</f>
        <v>RC.RP-03-M1</v>
      </c>
      <c r="C45" s="110" t="str">
        <f>'Remediation Index'!C40</f>
        <v>Recover</v>
      </c>
      <c r="D45" s="111" t="str">
        <f>'Remediation Index'!D40</f>
        <v>Backup Integrity Verification</v>
      </c>
      <c r="E45" s="110" t="str">
        <f>'Remediation Index'!E40</f>
        <v>Not Assessed</v>
      </c>
      <c r="F45" s="112"/>
      <c r="G45" s="112"/>
      <c r="H45" s="113"/>
      <c r="I45" s="114"/>
      <c r="J45" s="114"/>
      <c r="L45" s="100"/>
      <c r="M45" s="100"/>
      <c r="N45" s="100"/>
      <c r="O45" s="100"/>
      <c r="P45" s="100"/>
      <c r="Q45" s="100"/>
      <c r="R45" s="100"/>
      <c r="S45" s="100"/>
      <c r="T45" s="100"/>
      <c r="U45" s="100"/>
      <c r="V45" s="100"/>
      <c r="W45" s="100"/>
      <c r="X45" s="8"/>
    </row>
    <row r="46" spans="1:24" ht="20" customHeight="1" x14ac:dyDescent="0.45">
      <c r="A46" s="5"/>
      <c r="B46" s="115" t="str">
        <f>'Remediation Index'!B41</f>
        <v>RC.RP-02-M1</v>
      </c>
      <c r="C46" s="116" t="str">
        <f>'Remediation Index'!C41</f>
        <v>Recover</v>
      </c>
      <c r="D46" s="117" t="str">
        <f>'Remediation Index'!D41</f>
        <v>Recovery Action Prioritisation</v>
      </c>
      <c r="E46" s="116" t="str">
        <f>'Remediation Index'!E41</f>
        <v>Not Assessed</v>
      </c>
      <c r="F46" s="112"/>
      <c r="G46" s="112"/>
      <c r="H46" s="113"/>
      <c r="I46" s="114"/>
      <c r="J46" s="114"/>
      <c r="L46" s="102"/>
      <c r="M46" s="102"/>
      <c r="N46" s="102"/>
      <c r="O46" s="102"/>
      <c r="P46" s="102"/>
      <c r="Q46" s="102"/>
      <c r="R46" s="102"/>
      <c r="S46" s="102"/>
      <c r="T46" s="102"/>
      <c r="U46" s="102"/>
      <c r="V46" s="102"/>
      <c r="W46" s="102"/>
      <c r="X46" s="5"/>
    </row>
    <row r="47" spans="1:24" ht="20" customHeight="1" x14ac:dyDescent="0.45">
      <c r="A47" s="8"/>
      <c r="B47" s="109" t="str">
        <f>'Remediation Index'!B42</f>
        <v>RC.CO-03-M1</v>
      </c>
      <c r="C47" s="110" t="str">
        <f>'Remediation Index'!C42</f>
        <v>Recover</v>
      </c>
      <c r="D47" s="111" t="str">
        <f>'Remediation Index'!D42</f>
        <v>Recovery Progress Communication</v>
      </c>
      <c r="E47" s="110" t="str">
        <f>'Remediation Index'!E42</f>
        <v>Not Assessed</v>
      </c>
      <c r="F47" s="112"/>
      <c r="G47" s="112"/>
      <c r="H47" s="113"/>
      <c r="I47" s="114"/>
      <c r="J47" s="114"/>
      <c r="L47" s="100"/>
      <c r="M47" s="100"/>
      <c r="N47" s="100"/>
      <c r="O47" s="100"/>
      <c r="P47" s="100"/>
      <c r="Q47" s="100"/>
      <c r="R47" s="100"/>
      <c r="S47" s="100"/>
      <c r="T47" s="100"/>
      <c r="U47" s="100"/>
      <c r="V47" s="100"/>
      <c r="W47" s="100"/>
      <c r="X47" s="8"/>
    </row>
    <row r="48" spans="1:24" ht="20" customHeight="1" x14ac:dyDescent="0.45">
      <c r="A48" s="5"/>
      <c r="B48" s="115" t="str">
        <f>'Remediation Index'!B43</f>
        <v>RC.RP-06-M2</v>
      </c>
      <c r="C48" s="116" t="str">
        <f>'Remediation Index'!C43</f>
        <v>Recover</v>
      </c>
      <c r="D48" s="117" t="str">
        <f>'Remediation Index'!D43</f>
        <v>Incident Closure and Resumption Declaration</v>
      </c>
      <c r="E48" s="116" t="str">
        <f>'Remediation Index'!E43</f>
        <v>Not Assessed</v>
      </c>
      <c r="F48" s="112"/>
      <c r="G48" s="112"/>
      <c r="H48" s="113"/>
      <c r="I48" s="114"/>
      <c r="J48" s="114"/>
      <c r="L48" s="102"/>
      <c r="M48" s="102"/>
      <c r="N48" s="102"/>
      <c r="O48" s="102"/>
      <c r="P48" s="102"/>
      <c r="Q48" s="102"/>
      <c r="R48" s="102"/>
      <c r="S48" s="102"/>
      <c r="T48" s="102"/>
      <c r="U48" s="102"/>
      <c r="V48" s="102"/>
      <c r="W48" s="102"/>
      <c r="X48" s="5"/>
    </row>
    <row r="49" spans="1:24" ht="6" customHeight="1" x14ac:dyDescent="0.45">
      <c r="A49" s="1"/>
      <c r="B49" s="1"/>
      <c r="C49" s="1"/>
      <c r="D49" s="1"/>
      <c r="E49" s="1"/>
      <c r="F49" s="1"/>
      <c r="G49" s="1"/>
      <c r="H49" s="1"/>
      <c r="I49" s="1"/>
      <c r="J49" s="1"/>
      <c r="K49" s="1"/>
      <c r="L49" s="1"/>
      <c r="M49" s="1"/>
      <c r="N49" s="1"/>
      <c r="O49" s="1"/>
      <c r="P49" s="1"/>
      <c r="Q49" s="1"/>
      <c r="R49" s="1"/>
      <c r="S49" s="1"/>
      <c r="T49" s="1"/>
      <c r="U49" s="1"/>
      <c r="V49" s="1"/>
      <c r="W49" s="1"/>
      <c r="X49" s="1"/>
    </row>
    <row r="50" spans="1:24" ht="20" customHeight="1" x14ac:dyDescent="0.45">
      <c r="A50" s="3"/>
      <c r="B50" s="129" t="s">
        <v>22</v>
      </c>
      <c r="C50" s="127"/>
      <c r="D50" s="127"/>
      <c r="E50" s="127"/>
      <c r="F50" s="127"/>
      <c r="G50" s="127"/>
      <c r="H50" s="127"/>
      <c r="I50" s="127"/>
      <c r="J50" s="127"/>
      <c r="K50" s="127"/>
      <c r="L50" s="127"/>
      <c r="M50" s="127"/>
      <c r="N50" s="127"/>
      <c r="O50" s="127"/>
      <c r="P50" s="127"/>
      <c r="Q50" s="127"/>
      <c r="R50" s="127"/>
      <c r="S50" s="127"/>
      <c r="T50" s="127"/>
      <c r="U50" s="127"/>
      <c r="V50" s="127"/>
      <c r="W50" s="127"/>
      <c r="X50" s="3"/>
    </row>
  </sheetData>
  <mergeCells count="9">
    <mergeCell ref="B2:W2"/>
    <mergeCell ref="B3:W3"/>
    <mergeCell ref="B4:W4"/>
    <mergeCell ref="B50:W50"/>
    <mergeCell ref="B8:J8"/>
    <mergeCell ref="L8:W8"/>
    <mergeCell ref="B6:D6"/>
    <mergeCell ref="E6:G6"/>
    <mergeCell ref="H6:J6"/>
  </mergeCells>
  <conditionalFormatting sqref="B11:J48">
    <cfRule type="expression" dxfId="12" priority="5">
      <formula>$E11="PASS"</formula>
    </cfRule>
  </conditionalFormatting>
  <conditionalFormatting sqref="E11:E48">
    <cfRule type="expression" dxfId="11" priority="1">
      <formula>$E11="PASS"</formula>
    </cfRule>
    <cfRule type="expression" dxfId="10" priority="2">
      <formula>$E11="PARTIAL"</formula>
    </cfRule>
    <cfRule type="expression" dxfId="9" priority="3">
      <formula>$E11="FAIL"</formula>
    </cfRule>
    <cfRule type="expression" dxfId="8" priority="4">
      <formula>$E11="Not Assessed"</formula>
    </cfRule>
  </conditionalFormatting>
  <conditionalFormatting sqref="L11:W48">
    <cfRule type="expression" dxfId="7" priority="6">
      <formula>AND(L$10&gt;=$I11,L$10&lt;$I11+$J11)</formula>
    </cfRule>
    <cfRule type="expression" dxfId="6" priority="7">
      <formula>$E11="PASS"</formula>
    </cfRule>
  </conditionalFormatting>
  <dataValidations count="1">
    <dataValidation type="list" allowBlank="1" sqref="F11:F48" xr:uid="{00000000-0002-0000-0700-000000000000}">
      <formula1>"High,Medium,Low"</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7706"/>
  </sheetPr>
  <dimension ref="A1:AA25"/>
  <sheetViews>
    <sheetView showGridLines="0" zoomScale="80" workbookViewId="0">
      <pane xSplit="1" ySplit="5" topLeftCell="B6" activePane="bottomRight" state="frozen"/>
      <selection pane="topRight"/>
      <selection pane="bottomLeft"/>
      <selection pane="bottomRight" sqref="A1:XFD1"/>
    </sheetView>
  </sheetViews>
  <sheetFormatPr defaultRowHeight="14.25" x14ac:dyDescent="0.45"/>
  <cols>
    <col min="1" max="1" width="3" customWidth="1"/>
    <col min="2" max="2" width="10" customWidth="1"/>
    <col min="3" max="3" width="14" customWidth="1"/>
    <col min="4" max="4" width="16" customWidth="1"/>
    <col min="5" max="5" width="24" customWidth="1"/>
    <col min="6" max="6" width="40" customWidth="1"/>
    <col min="7" max="7" width="14" customWidth="1"/>
    <col min="8" max="8" width="20" customWidth="1"/>
    <col min="9" max="11" width="12" customWidth="1"/>
    <col min="12" max="12" width="10" customWidth="1"/>
    <col min="13" max="13" width="20" customWidth="1"/>
    <col min="14" max="14" width="36" customWidth="1"/>
    <col min="15" max="15" width="16" customWidth="1"/>
    <col min="16" max="16" width="14" customWidth="1"/>
    <col min="17" max="17" width="20" customWidth="1"/>
    <col min="18" max="18" width="3" customWidth="1"/>
    <col min="19" max="27" width="13" customWidth="1"/>
  </cols>
  <sheetData>
    <row r="1" spans="1:27" ht="1.05" customHeight="1" x14ac:dyDescent="0.45">
      <c r="A1" s="1"/>
      <c r="B1" s="1"/>
      <c r="C1" s="1"/>
      <c r="D1" s="1"/>
      <c r="E1" s="1"/>
      <c r="F1" s="1"/>
      <c r="G1" s="1"/>
      <c r="H1" s="1"/>
      <c r="I1" s="1"/>
      <c r="J1" s="1"/>
      <c r="K1" s="1"/>
      <c r="L1" s="1"/>
      <c r="M1" s="1"/>
      <c r="N1" s="1"/>
      <c r="O1" s="1"/>
      <c r="P1" s="1"/>
      <c r="Q1" s="1"/>
      <c r="R1" s="1"/>
      <c r="AA1" s="2" t="s">
        <v>0</v>
      </c>
    </row>
    <row r="2" spans="1:27" ht="28.05" customHeight="1" x14ac:dyDescent="0.45">
      <c r="A2" s="3"/>
      <c r="B2" s="134" t="s">
        <v>731</v>
      </c>
      <c r="C2" s="127"/>
      <c r="D2" s="127"/>
      <c r="E2" s="127"/>
      <c r="F2" s="127"/>
      <c r="G2" s="127"/>
      <c r="H2" s="127"/>
      <c r="I2" s="127"/>
      <c r="J2" s="127"/>
      <c r="K2" s="127"/>
      <c r="L2" s="127"/>
      <c r="M2" s="127"/>
      <c r="N2" s="127"/>
      <c r="O2" s="127"/>
      <c r="P2" s="127"/>
      <c r="Q2" s="127"/>
      <c r="R2" s="3"/>
    </row>
    <row r="3" spans="1:27" ht="22.05" customHeight="1" x14ac:dyDescent="0.45">
      <c r="A3" s="3"/>
      <c r="B3" s="141" t="s">
        <v>2</v>
      </c>
      <c r="C3" s="127"/>
      <c r="D3" s="127"/>
      <c r="E3" s="127"/>
      <c r="F3" s="127"/>
      <c r="G3" s="127"/>
      <c r="H3" s="127"/>
      <c r="I3" s="127"/>
      <c r="J3" s="127"/>
      <c r="K3" s="127"/>
      <c r="L3" s="127"/>
      <c r="M3" s="127"/>
      <c r="N3" s="127"/>
      <c r="O3" s="127"/>
      <c r="P3" s="127"/>
      <c r="Q3" s="127"/>
      <c r="R3" s="3"/>
    </row>
    <row r="4" spans="1:27" ht="26" customHeight="1" x14ac:dyDescent="0.45">
      <c r="A4" s="4"/>
      <c r="B4" s="136" t="s">
        <v>732</v>
      </c>
      <c r="C4" s="127"/>
      <c r="D4" s="127"/>
      <c r="E4" s="127"/>
      <c r="F4" s="127"/>
      <c r="G4" s="127"/>
      <c r="H4" s="127"/>
      <c r="I4" s="127"/>
      <c r="J4" s="127"/>
      <c r="K4" s="127"/>
      <c r="L4" s="127"/>
      <c r="M4" s="127"/>
      <c r="N4" s="127"/>
      <c r="O4" s="127"/>
      <c r="P4" s="127"/>
      <c r="Q4" s="127"/>
      <c r="R4" s="4"/>
    </row>
    <row r="5" spans="1:27" ht="6" customHeight="1" x14ac:dyDescent="0.45">
      <c r="A5" s="1"/>
      <c r="B5" s="1"/>
      <c r="C5" s="1"/>
      <c r="D5" s="1"/>
      <c r="E5" s="1"/>
      <c r="F5" s="1"/>
      <c r="G5" s="1"/>
      <c r="H5" s="1"/>
      <c r="I5" s="1"/>
      <c r="J5" s="1"/>
      <c r="K5" s="1"/>
      <c r="L5" s="1"/>
      <c r="M5" s="1"/>
      <c r="N5" s="1"/>
      <c r="O5" s="1"/>
      <c r="P5" s="1"/>
      <c r="Q5" s="1"/>
      <c r="R5" s="1"/>
    </row>
    <row r="6" spans="1:27" ht="30" customHeight="1" x14ac:dyDescent="0.45">
      <c r="A6" s="3"/>
      <c r="B6" s="40" t="s">
        <v>733</v>
      </c>
      <c r="C6" s="40" t="s">
        <v>734</v>
      </c>
      <c r="D6" s="40" t="s">
        <v>119</v>
      </c>
      <c r="E6" s="40" t="s">
        <v>735</v>
      </c>
      <c r="F6" s="40" t="s">
        <v>114</v>
      </c>
      <c r="G6" s="40" t="s">
        <v>736</v>
      </c>
      <c r="H6" s="40" t="s">
        <v>737</v>
      </c>
      <c r="I6" s="40" t="s">
        <v>714</v>
      </c>
      <c r="J6" s="40" t="s">
        <v>738</v>
      </c>
      <c r="K6" s="40" t="s">
        <v>739</v>
      </c>
      <c r="L6" s="40" t="s">
        <v>740</v>
      </c>
      <c r="M6" s="40" t="s">
        <v>715</v>
      </c>
      <c r="N6" s="40" t="s">
        <v>741</v>
      </c>
      <c r="O6" s="40" t="s">
        <v>40</v>
      </c>
      <c r="P6" s="40" t="s">
        <v>742</v>
      </c>
      <c r="Q6" s="40" t="s">
        <v>743</v>
      </c>
      <c r="R6" s="3"/>
    </row>
    <row r="7" spans="1:27" ht="64.05" customHeight="1" x14ac:dyDescent="0.45">
      <c r="A7" s="8"/>
      <c r="B7" s="118" t="s">
        <v>744</v>
      </c>
      <c r="C7" s="42" t="s">
        <v>745</v>
      </c>
      <c r="D7" s="42" t="s">
        <v>746</v>
      </c>
      <c r="E7" s="42" t="s">
        <v>747</v>
      </c>
      <c r="F7" s="42" t="s">
        <v>748</v>
      </c>
      <c r="G7" s="119"/>
      <c r="H7" s="42"/>
      <c r="I7" s="120" t="s">
        <v>749</v>
      </c>
      <c r="J7" s="120" t="s">
        <v>750</v>
      </c>
      <c r="K7" s="120" t="s">
        <v>749</v>
      </c>
      <c r="L7" s="120">
        <f>IFERROR(IF(I7="High",3,IF(I7="Medium",2,1))*IF(J7="High",3,IF(J7="Medium",2,1)),"")</f>
        <v>6</v>
      </c>
      <c r="M7" s="42" t="s">
        <v>751</v>
      </c>
      <c r="N7" s="42" t="s">
        <v>752</v>
      </c>
      <c r="O7" s="120" t="s">
        <v>753</v>
      </c>
      <c r="P7" s="119"/>
      <c r="Q7" s="42"/>
      <c r="R7" s="8"/>
    </row>
    <row r="8" spans="1:27" ht="64.05" customHeight="1" x14ac:dyDescent="0.45">
      <c r="A8" s="5"/>
      <c r="B8" s="121" t="s">
        <v>754</v>
      </c>
      <c r="C8" s="48" t="s">
        <v>745</v>
      </c>
      <c r="D8" s="48" t="s">
        <v>755</v>
      </c>
      <c r="E8" s="48" t="s">
        <v>756</v>
      </c>
      <c r="F8" s="48" t="s">
        <v>757</v>
      </c>
      <c r="G8" s="122"/>
      <c r="H8" s="48"/>
      <c r="I8" s="123" t="s">
        <v>750</v>
      </c>
      <c r="J8" s="123" t="s">
        <v>750</v>
      </c>
      <c r="K8" s="123" t="s">
        <v>750</v>
      </c>
      <c r="L8" s="123">
        <f>IFERROR(IF(I8="High",3,IF(I8="Medium",2,1))*IF(J8="High",3,IF(J8="Medium",2,1)),"")</f>
        <v>4</v>
      </c>
      <c r="M8" s="48" t="s">
        <v>30</v>
      </c>
      <c r="N8" s="48" t="s">
        <v>758</v>
      </c>
      <c r="O8" s="123" t="s">
        <v>753</v>
      </c>
      <c r="P8" s="122"/>
      <c r="Q8" s="48"/>
      <c r="R8" s="5"/>
    </row>
    <row r="9" spans="1:27" ht="64.05" customHeight="1" x14ac:dyDescent="0.45">
      <c r="A9" s="8"/>
      <c r="B9" s="118" t="s">
        <v>759</v>
      </c>
      <c r="C9" s="42" t="s">
        <v>760</v>
      </c>
      <c r="D9" s="42" t="s">
        <v>761</v>
      </c>
      <c r="E9" s="42" t="s">
        <v>762</v>
      </c>
      <c r="F9" s="42" t="s">
        <v>763</v>
      </c>
      <c r="G9" s="119"/>
      <c r="H9" s="42"/>
      <c r="I9" s="120" t="s">
        <v>750</v>
      </c>
      <c r="J9" s="120"/>
      <c r="K9" s="120" t="s">
        <v>750</v>
      </c>
      <c r="L9" s="120"/>
      <c r="M9" s="42" t="s">
        <v>30</v>
      </c>
      <c r="N9" s="42" t="s">
        <v>764</v>
      </c>
      <c r="O9" s="120" t="s">
        <v>753</v>
      </c>
      <c r="P9" s="119"/>
      <c r="Q9" s="42"/>
      <c r="R9" s="8"/>
    </row>
    <row r="10" spans="1:27" ht="79.05" customHeight="1" x14ac:dyDescent="0.45">
      <c r="A10" s="5"/>
      <c r="B10" s="121" t="s">
        <v>765</v>
      </c>
      <c r="C10" s="48" t="s">
        <v>760</v>
      </c>
      <c r="D10" s="48" t="s">
        <v>755</v>
      </c>
      <c r="E10" s="48" t="s">
        <v>766</v>
      </c>
      <c r="F10" s="48" t="s">
        <v>767</v>
      </c>
      <c r="G10" s="122"/>
      <c r="H10" s="48"/>
      <c r="I10" s="123" t="s">
        <v>768</v>
      </c>
      <c r="J10" s="123"/>
      <c r="K10" s="123" t="s">
        <v>768</v>
      </c>
      <c r="L10" s="123"/>
      <c r="M10" s="48" t="s">
        <v>751</v>
      </c>
      <c r="N10" s="48" t="s">
        <v>769</v>
      </c>
      <c r="O10" s="123" t="s">
        <v>753</v>
      </c>
      <c r="P10" s="122"/>
      <c r="Q10" s="48"/>
      <c r="R10" s="5"/>
    </row>
    <row r="11" spans="1:27" ht="79.05" customHeight="1" x14ac:dyDescent="0.45">
      <c r="A11" s="8"/>
      <c r="B11" s="118" t="s">
        <v>770</v>
      </c>
      <c r="C11" s="42" t="s">
        <v>771</v>
      </c>
      <c r="D11" s="42" t="s">
        <v>761</v>
      </c>
      <c r="E11" s="42" t="s">
        <v>772</v>
      </c>
      <c r="F11" s="42" t="s">
        <v>773</v>
      </c>
      <c r="G11" s="119"/>
      <c r="H11" s="42"/>
      <c r="I11" s="120" t="s">
        <v>750</v>
      </c>
      <c r="J11" s="120"/>
      <c r="K11" s="120" t="s">
        <v>750</v>
      </c>
      <c r="L11" s="120"/>
      <c r="M11" s="42" t="s">
        <v>30</v>
      </c>
      <c r="N11" s="42" t="s">
        <v>774</v>
      </c>
      <c r="O11" s="120" t="s">
        <v>753</v>
      </c>
      <c r="P11" s="119"/>
      <c r="Q11" s="42"/>
      <c r="R11" s="8"/>
    </row>
    <row r="12" spans="1:27" ht="79.05" customHeight="1" x14ac:dyDescent="0.45">
      <c r="A12" s="5"/>
      <c r="B12" s="121" t="s">
        <v>775</v>
      </c>
      <c r="C12" s="48" t="s">
        <v>771</v>
      </c>
      <c r="D12" s="48" t="s">
        <v>746</v>
      </c>
      <c r="E12" s="48" t="s">
        <v>776</v>
      </c>
      <c r="F12" s="48" t="s">
        <v>777</v>
      </c>
      <c r="G12" s="122"/>
      <c r="H12" s="48"/>
      <c r="I12" s="123" t="s">
        <v>750</v>
      </c>
      <c r="J12" s="123"/>
      <c r="K12" s="123" t="s">
        <v>750</v>
      </c>
      <c r="L12" s="123"/>
      <c r="M12" s="48" t="s">
        <v>751</v>
      </c>
      <c r="N12" s="48" t="s">
        <v>778</v>
      </c>
      <c r="O12" s="123" t="s">
        <v>753</v>
      </c>
      <c r="P12" s="122"/>
      <c r="Q12" s="48"/>
      <c r="R12" s="5"/>
    </row>
    <row r="13" spans="1:27" ht="45" customHeight="1" x14ac:dyDescent="0.45">
      <c r="A13" s="8"/>
      <c r="B13" s="118" t="s">
        <v>779</v>
      </c>
      <c r="C13" s="42" t="s">
        <v>780</v>
      </c>
      <c r="D13" s="42" t="s">
        <v>761</v>
      </c>
      <c r="E13" s="42" t="s">
        <v>781</v>
      </c>
      <c r="F13" s="42"/>
      <c r="G13" s="119"/>
      <c r="H13" s="42"/>
      <c r="I13" s="120"/>
      <c r="J13" s="120"/>
      <c r="K13" s="120"/>
      <c r="L13" s="120"/>
      <c r="M13" s="42"/>
      <c r="N13" s="42"/>
      <c r="O13" s="120" t="s">
        <v>753</v>
      </c>
      <c r="P13" s="119"/>
      <c r="Q13" s="42"/>
      <c r="R13" s="8"/>
    </row>
    <row r="14" spans="1:27" ht="22.05" customHeight="1" x14ac:dyDescent="0.45">
      <c r="A14" s="8"/>
      <c r="B14" s="42"/>
      <c r="C14" s="42"/>
      <c r="D14" s="42"/>
      <c r="E14" s="42"/>
      <c r="F14" s="42"/>
      <c r="G14" s="42"/>
      <c r="H14" s="42"/>
      <c r="I14" s="42"/>
      <c r="J14" s="42"/>
      <c r="K14" s="42"/>
      <c r="L14" s="42"/>
      <c r="M14" s="42"/>
      <c r="N14" s="42"/>
      <c r="O14" s="42"/>
      <c r="P14" s="42"/>
      <c r="Q14" s="42"/>
      <c r="R14" s="8"/>
    </row>
    <row r="15" spans="1:27" ht="22.05" customHeight="1" x14ac:dyDescent="0.45">
      <c r="A15" s="5"/>
      <c r="B15" s="48"/>
      <c r="C15" s="48"/>
      <c r="D15" s="48"/>
      <c r="E15" s="48"/>
      <c r="F15" s="48"/>
      <c r="G15" s="48"/>
      <c r="H15" s="48"/>
      <c r="I15" s="48"/>
      <c r="J15" s="48"/>
      <c r="K15" s="48"/>
      <c r="L15" s="48"/>
      <c r="M15" s="48"/>
      <c r="N15" s="48"/>
      <c r="O15" s="48"/>
      <c r="P15" s="48"/>
      <c r="Q15" s="48"/>
      <c r="R15" s="5"/>
    </row>
    <row r="16" spans="1:27" ht="22.05" customHeight="1" x14ac:dyDescent="0.45">
      <c r="A16" s="8"/>
      <c r="B16" s="42"/>
      <c r="C16" s="42"/>
      <c r="D16" s="42"/>
      <c r="E16" s="42"/>
      <c r="F16" s="42"/>
      <c r="G16" s="42"/>
      <c r="H16" s="42"/>
      <c r="I16" s="42"/>
      <c r="J16" s="42"/>
      <c r="K16" s="42"/>
      <c r="L16" s="42"/>
      <c r="M16" s="42"/>
      <c r="N16" s="42"/>
      <c r="O16" s="42"/>
      <c r="P16" s="42"/>
      <c r="Q16" s="42"/>
      <c r="R16" s="8"/>
    </row>
    <row r="17" spans="1:18" ht="22.05" customHeight="1" x14ac:dyDescent="0.45">
      <c r="A17" s="5"/>
      <c r="B17" s="48"/>
      <c r="C17" s="48"/>
      <c r="D17" s="48"/>
      <c r="E17" s="48"/>
      <c r="F17" s="48"/>
      <c r="G17" s="48"/>
      <c r="H17" s="48"/>
      <c r="I17" s="48"/>
      <c r="J17" s="48"/>
      <c r="K17" s="48"/>
      <c r="L17" s="48"/>
      <c r="M17" s="48"/>
      <c r="N17" s="48"/>
      <c r="O17" s="48"/>
      <c r="P17" s="48"/>
      <c r="Q17" s="48"/>
      <c r="R17" s="5"/>
    </row>
    <row r="18" spans="1:18" ht="22.05" customHeight="1" x14ac:dyDescent="0.45">
      <c r="A18" s="8"/>
      <c r="B18" s="42"/>
      <c r="C18" s="42"/>
      <c r="D18" s="42"/>
      <c r="E18" s="42"/>
      <c r="F18" s="42"/>
      <c r="G18" s="42"/>
      <c r="H18" s="42"/>
      <c r="I18" s="42"/>
      <c r="J18" s="42"/>
      <c r="K18" s="42"/>
      <c r="L18" s="42"/>
      <c r="M18" s="42"/>
      <c r="N18" s="42"/>
      <c r="O18" s="42"/>
      <c r="P18" s="42"/>
      <c r="Q18" s="42"/>
      <c r="R18" s="8"/>
    </row>
    <row r="19" spans="1:18" ht="22.05" customHeight="1" x14ac:dyDescent="0.45">
      <c r="A19" s="5"/>
      <c r="B19" s="48"/>
      <c r="C19" s="48"/>
      <c r="D19" s="48"/>
      <c r="E19" s="48"/>
      <c r="F19" s="48"/>
      <c r="G19" s="48"/>
      <c r="H19" s="48"/>
      <c r="I19" s="48"/>
      <c r="J19" s="48"/>
      <c r="K19" s="48"/>
      <c r="L19" s="48"/>
      <c r="M19" s="48"/>
      <c r="N19" s="48"/>
      <c r="O19" s="48"/>
      <c r="P19" s="48"/>
      <c r="Q19" s="48"/>
      <c r="R19" s="5"/>
    </row>
    <row r="20" spans="1:18" ht="22.05" customHeight="1" x14ac:dyDescent="0.45">
      <c r="A20" s="8"/>
      <c r="B20" s="42"/>
      <c r="C20" s="42"/>
      <c r="D20" s="42"/>
      <c r="E20" s="42"/>
      <c r="F20" s="42"/>
      <c r="G20" s="42"/>
      <c r="H20" s="42"/>
      <c r="I20" s="42"/>
      <c r="J20" s="42"/>
      <c r="K20" s="42"/>
      <c r="L20" s="42"/>
      <c r="M20" s="42"/>
      <c r="N20" s="42"/>
      <c r="O20" s="42"/>
      <c r="P20" s="42"/>
      <c r="Q20" s="42"/>
      <c r="R20" s="8"/>
    </row>
    <row r="21" spans="1:18" ht="22.05" customHeight="1" x14ac:dyDescent="0.45">
      <c r="A21" s="5"/>
      <c r="B21" s="48"/>
      <c r="C21" s="48"/>
      <c r="D21" s="48"/>
      <c r="E21" s="48"/>
      <c r="F21" s="48"/>
      <c r="G21" s="48"/>
      <c r="H21" s="48"/>
      <c r="I21" s="48"/>
      <c r="J21" s="48"/>
      <c r="K21" s="48"/>
      <c r="L21" s="48"/>
      <c r="M21" s="48"/>
      <c r="N21" s="48"/>
      <c r="O21" s="48"/>
      <c r="P21" s="48"/>
      <c r="Q21" s="48"/>
      <c r="R21" s="5"/>
    </row>
    <row r="22" spans="1:18" ht="22.05" customHeight="1" x14ac:dyDescent="0.45">
      <c r="A22" s="8"/>
      <c r="B22" s="42"/>
      <c r="C22" s="42"/>
      <c r="D22" s="42"/>
      <c r="E22" s="42"/>
      <c r="F22" s="42"/>
      <c r="G22" s="42"/>
      <c r="H22" s="42"/>
      <c r="I22" s="42"/>
      <c r="J22" s="42"/>
      <c r="K22" s="42"/>
      <c r="L22" s="42"/>
      <c r="M22" s="42"/>
      <c r="N22" s="42"/>
      <c r="O22" s="42"/>
      <c r="P22" s="42"/>
      <c r="Q22" s="42"/>
      <c r="R22" s="8"/>
    </row>
    <row r="23" spans="1:18" ht="22.05" customHeight="1" x14ac:dyDescent="0.45">
      <c r="A23" s="5"/>
      <c r="B23" s="48"/>
      <c r="C23" s="48"/>
      <c r="D23" s="48"/>
      <c r="E23" s="48"/>
      <c r="F23" s="48"/>
      <c r="G23" s="48"/>
      <c r="H23" s="48"/>
      <c r="I23" s="48"/>
      <c r="J23" s="48"/>
      <c r="K23" s="48"/>
      <c r="L23" s="48"/>
      <c r="M23" s="48"/>
      <c r="N23" s="48"/>
      <c r="O23" s="48"/>
      <c r="P23" s="48"/>
      <c r="Q23" s="48"/>
      <c r="R23" s="5"/>
    </row>
    <row r="24" spans="1:18" ht="6" customHeight="1" x14ac:dyDescent="0.45">
      <c r="A24" s="1"/>
      <c r="B24" s="1"/>
      <c r="C24" s="1"/>
      <c r="D24" s="1"/>
      <c r="E24" s="1"/>
      <c r="F24" s="1"/>
      <c r="G24" s="1"/>
      <c r="H24" s="1"/>
      <c r="I24" s="1"/>
      <c r="J24" s="1"/>
      <c r="K24" s="1"/>
      <c r="L24" s="1"/>
      <c r="M24" s="1"/>
      <c r="N24" s="1"/>
      <c r="O24" s="1"/>
      <c r="P24" s="1"/>
      <c r="Q24" s="1"/>
      <c r="R24" s="1"/>
    </row>
    <row r="25" spans="1:18" ht="20" customHeight="1" x14ac:dyDescent="0.45">
      <c r="A25" s="3"/>
      <c r="B25" s="129" t="s">
        <v>22</v>
      </c>
      <c r="C25" s="127"/>
      <c r="D25" s="127"/>
      <c r="E25" s="127"/>
      <c r="F25" s="127"/>
      <c r="G25" s="127"/>
      <c r="H25" s="127"/>
      <c r="I25" s="127"/>
      <c r="J25" s="127"/>
      <c r="K25" s="127"/>
      <c r="L25" s="127"/>
      <c r="M25" s="127"/>
      <c r="N25" s="127"/>
      <c r="O25" s="127"/>
      <c r="P25" s="127"/>
      <c r="Q25" s="127"/>
      <c r="R25" s="3"/>
    </row>
  </sheetData>
  <autoFilter ref="B5:Q23" xr:uid="{00000000-0009-0000-0000-000008000000}"/>
  <mergeCells count="4">
    <mergeCell ref="B2:Q2"/>
    <mergeCell ref="B4:Q4"/>
    <mergeCell ref="B25:Q25"/>
    <mergeCell ref="B3:Q3"/>
  </mergeCells>
  <dataValidations count="5">
    <dataValidation type="list" allowBlank="1" sqref="C6:C50" xr:uid="{00000000-0002-0000-0800-000000000000}">
      <formula1>"Programme,Commercial,Technical,Resource,Regulatory"</formula1>
    </dataValidation>
    <dataValidation type="list" allowBlank="1" sqref="I6:J50" xr:uid="{00000000-0002-0000-0800-000001000000}">
      <formula1>"High,Medium,Low"</formula1>
    </dataValidation>
    <dataValidation type="list" allowBlank="1" sqref="N6:N50" xr:uid="{00000000-0002-0000-0800-000003000000}">
      <formula1>"Open,In Progress,Closed,Accepted"</formula1>
    </dataValidation>
    <dataValidation type="list" allowBlank="1" sqref="B6:B50" xr:uid="{00000000-0002-0000-0800-000004000000}">
      <formula1>"Risk,Assumption,Issue,Dependency"</formula1>
    </dataValidation>
    <dataValidation type="list" allowBlank="1" sqref="H6:H50" xr:uid="{00000000-0002-0000-0800-000005000000}">
      <formula1>"Critical,High,Medium,Low"</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B1C1C"/>
  </sheetPr>
  <dimension ref="A1:AA20"/>
  <sheetViews>
    <sheetView showGridLines="0" zoomScale="80" workbookViewId="0">
      <pane xSplit="1" ySplit="5" topLeftCell="B6" activePane="bottomRight" state="frozen"/>
      <selection pane="topRight"/>
      <selection pane="bottomLeft"/>
      <selection pane="bottomRight" activeCell="A21" sqref="A21"/>
    </sheetView>
  </sheetViews>
  <sheetFormatPr defaultRowHeight="14.25" x14ac:dyDescent="0.45"/>
  <cols>
    <col min="1" max="1" width="3" customWidth="1"/>
    <col min="2" max="2" width="10" customWidth="1"/>
    <col min="3" max="3" width="18" customWidth="1"/>
    <col min="4" max="4" width="24" customWidth="1"/>
    <col min="5" max="5" width="40" customWidth="1"/>
    <col min="6" max="6" width="18" customWidth="1"/>
    <col min="7" max="8" width="10" customWidth="1"/>
    <col min="9" max="9" width="12" customWidth="1"/>
    <col min="10" max="10" width="32" customWidth="1"/>
    <col min="11" max="12" width="10" customWidth="1"/>
    <col min="13" max="13" width="12" customWidth="1"/>
    <col min="14" max="14" width="20" customWidth="1"/>
    <col min="15" max="15" width="32" customWidth="1"/>
    <col min="16" max="16" width="14" customWidth="1"/>
    <col min="17" max="17" width="16" customWidth="1"/>
    <col min="18" max="18" width="3" customWidth="1"/>
    <col min="19" max="27" width="13" customWidth="1"/>
  </cols>
  <sheetData>
    <row r="1" spans="1:27" ht="1.05" customHeight="1" x14ac:dyDescent="0.45">
      <c r="A1" s="1"/>
      <c r="B1" s="1"/>
      <c r="C1" s="1"/>
      <c r="D1" s="1"/>
      <c r="E1" s="1"/>
      <c r="F1" s="1"/>
      <c r="G1" s="1"/>
      <c r="H1" s="1"/>
      <c r="I1" s="1"/>
      <c r="J1" s="1"/>
      <c r="K1" s="1"/>
      <c r="L1" s="1"/>
      <c r="M1" s="1"/>
      <c r="N1" s="1"/>
      <c r="O1" s="1"/>
      <c r="P1" s="1"/>
      <c r="Q1" s="1"/>
      <c r="R1" s="1"/>
      <c r="AA1" s="2" t="s">
        <v>0</v>
      </c>
    </row>
    <row r="2" spans="1:27" ht="28.05" customHeight="1" x14ac:dyDescent="0.45">
      <c r="A2" s="3"/>
      <c r="B2" s="134" t="s">
        <v>782</v>
      </c>
      <c r="C2" s="127"/>
      <c r="D2" s="127"/>
      <c r="E2" s="127"/>
      <c r="F2" s="127"/>
      <c r="G2" s="127"/>
      <c r="H2" s="127"/>
      <c r="I2" s="127"/>
      <c r="J2" s="127"/>
      <c r="K2" s="127"/>
      <c r="L2" s="127"/>
      <c r="M2" s="127"/>
      <c r="N2" s="127"/>
      <c r="O2" s="127"/>
      <c r="P2" s="127"/>
      <c r="Q2" s="127"/>
      <c r="R2" s="3"/>
    </row>
    <row r="3" spans="1:27" ht="22.05" customHeight="1" x14ac:dyDescent="0.45">
      <c r="A3" s="3"/>
      <c r="B3" s="141" t="s">
        <v>2</v>
      </c>
      <c r="C3" s="127"/>
      <c r="D3" s="127"/>
      <c r="E3" s="127"/>
      <c r="F3" s="127"/>
      <c r="G3" s="127"/>
      <c r="H3" s="127"/>
      <c r="I3" s="127"/>
      <c r="J3" s="127"/>
      <c r="K3" s="127"/>
      <c r="L3" s="127"/>
      <c r="M3" s="127"/>
      <c r="N3" s="127"/>
      <c r="O3" s="127"/>
      <c r="P3" s="127"/>
      <c r="Q3" s="127"/>
      <c r="R3" s="3"/>
    </row>
    <row r="4" spans="1:27" ht="26" customHeight="1" x14ac:dyDescent="0.45">
      <c r="A4" s="4"/>
      <c r="B4" s="136" t="s">
        <v>783</v>
      </c>
      <c r="C4" s="127"/>
      <c r="D4" s="127"/>
      <c r="E4" s="127"/>
      <c r="F4" s="127"/>
      <c r="G4" s="127"/>
      <c r="H4" s="127"/>
      <c r="I4" s="127"/>
      <c r="J4" s="127"/>
      <c r="K4" s="127"/>
      <c r="L4" s="127"/>
      <c r="M4" s="127"/>
      <c r="N4" s="127"/>
      <c r="O4" s="127"/>
      <c r="P4" s="127"/>
      <c r="Q4" s="127"/>
      <c r="R4" s="4"/>
    </row>
    <row r="5" spans="1:27" ht="6" customHeight="1" x14ac:dyDescent="0.45">
      <c r="A5" s="1"/>
      <c r="B5" s="1"/>
      <c r="C5" s="1"/>
      <c r="D5" s="1"/>
      <c r="E5" s="1"/>
      <c r="F5" s="1"/>
      <c r="G5" s="1"/>
      <c r="H5" s="1"/>
      <c r="I5" s="1"/>
      <c r="J5" s="1"/>
      <c r="K5" s="1"/>
      <c r="L5" s="1"/>
      <c r="M5" s="1"/>
      <c r="N5" s="1"/>
      <c r="O5" s="1"/>
      <c r="P5" s="1"/>
      <c r="Q5" s="1"/>
      <c r="R5" s="1"/>
    </row>
    <row r="6" spans="1:27" ht="34.049999999999997" customHeight="1" x14ac:dyDescent="0.45">
      <c r="A6" s="3"/>
      <c r="B6" s="40" t="s">
        <v>784</v>
      </c>
      <c r="C6" s="40" t="s">
        <v>785</v>
      </c>
      <c r="D6" s="40" t="s">
        <v>786</v>
      </c>
      <c r="E6" s="40" t="s">
        <v>787</v>
      </c>
      <c r="F6" s="40" t="s">
        <v>788</v>
      </c>
      <c r="G6" s="40" t="s">
        <v>789</v>
      </c>
      <c r="H6" s="40" t="s">
        <v>790</v>
      </c>
      <c r="I6" s="40" t="s">
        <v>791</v>
      </c>
      <c r="J6" s="40" t="s">
        <v>792</v>
      </c>
      <c r="K6" s="40" t="s">
        <v>793</v>
      </c>
      <c r="L6" s="40" t="s">
        <v>794</v>
      </c>
      <c r="M6" s="40" t="s">
        <v>795</v>
      </c>
      <c r="N6" s="40" t="s">
        <v>796</v>
      </c>
      <c r="O6" s="40" t="s">
        <v>797</v>
      </c>
      <c r="P6" s="40" t="s">
        <v>716</v>
      </c>
      <c r="Q6" s="40" t="s">
        <v>40</v>
      </c>
      <c r="R6" s="3"/>
    </row>
    <row r="7" spans="1:27" ht="79.05" customHeight="1" x14ac:dyDescent="0.45">
      <c r="A7" s="8"/>
      <c r="B7" s="118" t="s">
        <v>798</v>
      </c>
      <c r="C7" s="42" t="s">
        <v>395</v>
      </c>
      <c r="D7" s="42" t="s">
        <v>799</v>
      </c>
      <c r="E7" s="42" t="s">
        <v>800</v>
      </c>
      <c r="F7" s="42" t="s">
        <v>801</v>
      </c>
      <c r="G7" s="124" t="s">
        <v>802</v>
      </c>
      <c r="H7" s="124" t="s">
        <v>803</v>
      </c>
      <c r="I7" s="120">
        <f t="shared" ref="I7:I19" si="0">IFERROR(G7*H7,"")</f>
        <v>12</v>
      </c>
      <c r="J7" s="42" t="s">
        <v>804</v>
      </c>
      <c r="K7" s="124" t="s">
        <v>186</v>
      </c>
      <c r="L7" s="124" t="s">
        <v>802</v>
      </c>
      <c r="M7" s="120">
        <f t="shared" ref="M7:M19" si="1">IFERROR(K7*L7,"")</f>
        <v>6</v>
      </c>
      <c r="N7" s="42" t="s">
        <v>30</v>
      </c>
      <c r="O7" s="42" t="s">
        <v>805</v>
      </c>
      <c r="P7" s="119"/>
      <c r="Q7" s="42" t="s">
        <v>753</v>
      </c>
      <c r="R7" s="8"/>
    </row>
    <row r="8" spans="1:27" ht="79.05" customHeight="1" x14ac:dyDescent="0.45">
      <c r="A8" s="5"/>
      <c r="B8" s="121" t="s">
        <v>806</v>
      </c>
      <c r="C8" s="48" t="s">
        <v>476</v>
      </c>
      <c r="D8" s="48" t="s">
        <v>807</v>
      </c>
      <c r="E8" s="48" t="s">
        <v>808</v>
      </c>
      <c r="F8" s="48" t="s">
        <v>809</v>
      </c>
      <c r="G8" s="125" t="s">
        <v>803</v>
      </c>
      <c r="H8" s="125" t="s">
        <v>810</v>
      </c>
      <c r="I8" s="123">
        <f t="shared" si="0"/>
        <v>20</v>
      </c>
      <c r="J8" s="48" t="s">
        <v>811</v>
      </c>
      <c r="K8" s="125" t="s">
        <v>186</v>
      </c>
      <c r="L8" s="125" t="s">
        <v>803</v>
      </c>
      <c r="M8" s="123">
        <f t="shared" si="1"/>
        <v>8</v>
      </c>
      <c r="N8" s="48" t="s">
        <v>751</v>
      </c>
      <c r="O8" s="48" t="s">
        <v>812</v>
      </c>
      <c r="P8" s="122"/>
      <c r="Q8" s="48" t="s">
        <v>753</v>
      </c>
      <c r="R8" s="5"/>
    </row>
    <row r="9" spans="1:27" ht="79.05" customHeight="1" x14ac:dyDescent="0.45">
      <c r="A9" s="8"/>
      <c r="B9" s="118" t="s">
        <v>813</v>
      </c>
      <c r="C9" s="42" t="s">
        <v>502</v>
      </c>
      <c r="D9" s="42" t="s">
        <v>814</v>
      </c>
      <c r="E9" s="42" t="s">
        <v>815</v>
      </c>
      <c r="F9" s="42" t="s">
        <v>816</v>
      </c>
      <c r="G9" s="124" t="s">
        <v>802</v>
      </c>
      <c r="H9" s="124" t="s">
        <v>810</v>
      </c>
      <c r="I9" s="120">
        <f t="shared" si="0"/>
        <v>15</v>
      </c>
      <c r="J9" s="42" t="s">
        <v>817</v>
      </c>
      <c r="K9" s="124" t="s">
        <v>186</v>
      </c>
      <c r="L9" s="124" t="s">
        <v>803</v>
      </c>
      <c r="M9" s="120">
        <f t="shared" si="1"/>
        <v>8</v>
      </c>
      <c r="N9" s="42" t="s">
        <v>751</v>
      </c>
      <c r="O9" s="42" t="s">
        <v>818</v>
      </c>
      <c r="P9" s="119"/>
      <c r="Q9" s="42" t="s">
        <v>753</v>
      </c>
      <c r="R9" s="8"/>
    </row>
    <row r="10" spans="1:27" ht="79.05" customHeight="1" x14ac:dyDescent="0.45">
      <c r="A10" s="5"/>
      <c r="B10" s="121" t="s">
        <v>819</v>
      </c>
      <c r="C10" s="48" t="s">
        <v>564</v>
      </c>
      <c r="D10" s="48" t="s">
        <v>820</v>
      </c>
      <c r="E10" s="48" t="s">
        <v>821</v>
      </c>
      <c r="F10" s="48" t="s">
        <v>822</v>
      </c>
      <c r="G10" s="125" t="s">
        <v>802</v>
      </c>
      <c r="H10" s="125" t="s">
        <v>803</v>
      </c>
      <c r="I10" s="123">
        <f t="shared" si="0"/>
        <v>12</v>
      </c>
      <c r="J10" s="48" t="s">
        <v>804</v>
      </c>
      <c r="K10" s="125" t="s">
        <v>186</v>
      </c>
      <c r="L10" s="125" t="s">
        <v>802</v>
      </c>
      <c r="M10" s="123">
        <f t="shared" si="1"/>
        <v>6</v>
      </c>
      <c r="N10" s="48" t="s">
        <v>30</v>
      </c>
      <c r="O10" s="48" t="s">
        <v>823</v>
      </c>
      <c r="P10" s="122"/>
      <c r="Q10" s="48" t="s">
        <v>753</v>
      </c>
      <c r="R10" s="5"/>
    </row>
    <row r="11" spans="1:27" ht="22.05" customHeight="1" x14ac:dyDescent="0.45">
      <c r="A11" s="8"/>
      <c r="B11" s="42"/>
      <c r="C11" s="42"/>
      <c r="D11" s="42"/>
      <c r="E11" s="42"/>
      <c r="F11" s="42"/>
      <c r="G11" s="42"/>
      <c r="H11" s="42"/>
      <c r="I11" s="42"/>
      <c r="J11" s="42"/>
      <c r="K11" s="42"/>
      <c r="L11" s="42"/>
      <c r="M11" s="42"/>
      <c r="N11" s="42"/>
      <c r="O11" s="42"/>
      <c r="P11" s="42"/>
      <c r="Q11" s="42"/>
      <c r="R11" s="8"/>
    </row>
    <row r="12" spans="1:27" ht="22.05" customHeight="1" x14ac:dyDescent="0.45">
      <c r="A12" s="5"/>
      <c r="B12" s="48"/>
      <c r="C12" s="48"/>
      <c r="D12" s="48"/>
      <c r="E12" s="48"/>
      <c r="F12" s="48"/>
      <c r="G12" s="48"/>
      <c r="H12" s="48"/>
      <c r="I12" s="48"/>
      <c r="J12" s="48"/>
      <c r="K12" s="48"/>
      <c r="L12" s="48"/>
      <c r="M12" s="48"/>
      <c r="N12" s="48"/>
      <c r="O12" s="48"/>
      <c r="P12" s="48"/>
      <c r="Q12" s="48"/>
      <c r="R12" s="5"/>
    </row>
    <row r="13" spans="1:27" ht="22.05" customHeight="1" x14ac:dyDescent="0.45">
      <c r="A13" s="8"/>
      <c r="B13" s="42"/>
      <c r="C13" s="42"/>
      <c r="D13" s="42"/>
      <c r="E13" s="42"/>
      <c r="F13" s="42"/>
      <c r="G13" s="42"/>
      <c r="H13" s="42"/>
      <c r="I13" s="42"/>
      <c r="J13" s="42"/>
      <c r="K13" s="42"/>
      <c r="L13" s="42"/>
      <c r="M13" s="42"/>
      <c r="N13" s="42"/>
      <c r="O13" s="42"/>
      <c r="P13" s="42"/>
      <c r="Q13" s="42"/>
      <c r="R13" s="8"/>
    </row>
    <row r="14" spans="1:27" ht="22.05" customHeight="1" x14ac:dyDescent="0.45">
      <c r="A14" s="5"/>
      <c r="B14" s="48"/>
      <c r="C14" s="48"/>
      <c r="D14" s="48"/>
      <c r="E14" s="48"/>
      <c r="F14" s="48"/>
      <c r="G14" s="48"/>
      <c r="H14" s="48"/>
      <c r="I14" s="48"/>
      <c r="J14" s="48"/>
      <c r="K14" s="48"/>
      <c r="L14" s="48"/>
      <c r="M14" s="48"/>
      <c r="N14" s="48"/>
      <c r="O14" s="48"/>
      <c r="P14" s="48"/>
      <c r="Q14" s="48"/>
      <c r="R14" s="5"/>
    </row>
    <row r="15" spans="1:27" ht="22.05" customHeight="1" x14ac:dyDescent="0.45">
      <c r="A15" s="8"/>
      <c r="B15" s="42"/>
      <c r="C15" s="42"/>
      <c r="D15" s="42"/>
      <c r="E15" s="42"/>
      <c r="F15" s="42"/>
      <c r="G15" s="42"/>
      <c r="H15" s="42"/>
      <c r="I15" s="42"/>
      <c r="J15" s="42"/>
      <c r="K15" s="42"/>
      <c r="L15" s="42"/>
      <c r="M15" s="42"/>
      <c r="N15" s="42"/>
      <c r="O15" s="42"/>
      <c r="P15" s="42"/>
      <c r="Q15" s="42"/>
      <c r="R15" s="8"/>
    </row>
    <row r="16" spans="1:27" ht="22.05" customHeight="1" x14ac:dyDescent="0.45">
      <c r="A16" s="5"/>
      <c r="B16" s="48"/>
      <c r="C16" s="48"/>
      <c r="D16" s="48"/>
      <c r="E16" s="48"/>
      <c r="F16" s="48"/>
      <c r="G16" s="48"/>
      <c r="H16" s="48"/>
      <c r="I16" s="48"/>
      <c r="J16" s="48"/>
      <c r="K16" s="48"/>
      <c r="L16" s="48"/>
      <c r="M16" s="48"/>
      <c r="N16" s="48"/>
      <c r="O16" s="48"/>
      <c r="P16" s="48"/>
      <c r="Q16" s="48"/>
      <c r="R16" s="5"/>
    </row>
    <row r="17" spans="1:18" ht="22.05" customHeight="1" x14ac:dyDescent="0.45">
      <c r="A17" s="8"/>
      <c r="B17" s="42"/>
      <c r="C17" s="42"/>
      <c r="D17" s="42"/>
      <c r="E17" s="42"/>
      <c r="F17" s="42"/>
      <c r="G17" s="42"/>
      <c r="H17" s="42"/>
      <c r="I17" s="42"/>
      <c r="J17" s="42"/>
      <c r="K17" s="42"/>
      <c r="L17" s="42"/>
      <c r="M17" s="42"/>
      <c r="N17" s="42"/>
      <c r="O17" s="42"/>
      <c r="P17" s="42"/>
      <c r="Q17" s="42"/>
      <c r="R17" s="8"/>
    </row>
    <row r="18" spans="1:18" ht="22.05" customHeight="1" x14ac:dyDescent="0.45">
      <c r="A18" s="5"/>
      <c r="B18" s="48"/>
      <c r="C18" s="48"/>
      <c r="D18" s="48"/>
      <c r="E18" s="48"/>
      <c r="F18" s="48"/>
      <c r="G18" s="48"/>
      <c r="H18" s="48"/>
      <c r="I18" s="48"/>
      <c r="J18" s="48"/>
      <c r="K18" s="48"/>
      <c r="L18" s="48"/>
      <c r="M18" s="48"/>
      <c r="N18" s="48"/>
      <c r="O18" s="48"/>
      <c r="P18" s="48"/>
      <c r="Q18" s="48"/>
      <c r="R18" s="5"/>
    </row>
    <row r="19" spans="1:18" ht="6" customHeight="1" x14ac:dyDescent="0.45">
      <c r="A19" s="1"/>
      <c r="B19" s="1"/>
      <c r="C19" s="1"/>
      <c r="D19" s="1"/>
      <c r="E19" s="1"/>
      <c r="F19" s="1"/>
      <c r="G19" s="1"/>
      <c r="H19" s="1"/>
      <c r="I19" s="1"/>
      <c r="J19" s="1"/>
      <c r="K19" s="1"/>
      <c r="L19" s="1"/>
      <c r="M19" s="1"/>
      <c r="N19" s="1"/>
      <c r="O19" s="1"/>
      <c r="P19" s="1"/>
      <c r="Q19" s="1"/>
      <c r="R19" s="1"/>
    </row>
    <row r="20" spans="1:18" ht="20" customHeight="1" x14ac:dyDescent="0.45">
      <c r="A20" s="3"/>
      <c r="B20" s="129" t="s">
        <v>22</v>
      </c>
      <c r="C20" s="127"/>
      <c r="D20" s="127"/>
      <c r="E20" s="127"/>
      <c r="F20" s="127"/>
      <c r="G20" s="127"/>
      <c r="H20" s="127"/>
      <c r="I20" s="127"/>
      <c r="J20" s="127"/>
      <c r="K20" s="127"/>
      <c r="L20" s="127"/>
      <c r="M20" s="127"/>
      <c r="N20" s="127"/>
      <c r="O20" s="127"/>
      <c r="P20" s="127"/>
      <c r="Q20" s="127"/>
      <c r="R20" s="3"/>
    </row>
  </sheetData>
  <autoFilter ref="B5:Q18" xr:uid="{00000000-0009-0000-0000-000009000000}"/>
  <mergeCells count="4">
    <mergeCell ref="B2:Q2"/>
    <mergeCell ref="B4:Q4"/>
    <mergeCell ref="B20:Q20"/>
    <mergeCell ref="B3:Q3"/>
  </mergeCells>
  <dataValidations count="2">
    <dataValidation type="list" allowBlank="1" sqref="E6:E50" xr:uid="{00000000-0002-0000-0900-000000000000}">
      <formula1>"Confidentiality,Integrity,Availability,Compliance,Operational"</formula1>
    </dataValidation>
    <dataValidation type="list" allowBlank="1" sqref="P6:P50" xr:uid="{00000000-0002-0000-0900-000001000000}">
      <formula1>"Open,In Treatment,Accepted,Closed"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E40AF"/>
  </sheetPr>
  <dimension ref="A1:AA20"/>
  <sheetViews>
    <sheetView showGridLines="0" zoomScale="80" workbookViewId="0">
      <pane xSplit="1" ySplit="5" topLeftCell="B6" activePane="bottomRight" state="frozen"/>
      <selection pane="topRight"/>
      <selection pane="bottomLeft"/>
      <selection pane="bottomRight" sqref="A1:XFD1"/>
    </sheetView>
  </sheetViews>
  <sheetFormatPr defaultRowHeight="14.25" x14ac:dyDescent="0.45"/>
  <cols>
    <col min="1" max="1" width="3" customWidth="1"/>
    <col min="2" max="2" width="10" customWidth="1"/>
    <col min="3" max="3" width="22" customWidth="1"/>
    <col min="4" max="4" width="24" customWidth="1"/>
    <col min="5" max="5" width="22" customWidth="1"/>
    <col min="6" max="6" width="30" customWidth="1"/>
    <col min="7" max="7" width="14" customWidth="1"/>
    <col min="8" max="8" width="18" customWidth="1"/>
    <col min="9" max="9" width="28" customWidth="1"/>
    <col min="10" max="10" width="14" customWidth="1"/>
    <col min="11" max="12" width="26" customWidth="1"/>
    <col min="13" max="13" width="13" customWidth="1"/>
    <col min="14" max="14" width="3" customWidth="1"/>
    <col min="15" max="27" width="13" customWidth="1"/>
  </cols>
  <sheetData>
    <row r="1" spans="1:27" ht="1.05" customHeight="1" x14ac:dyDescent="0.45">
      <c r="A1" s="1"/>
      <c r="B1" s="1"/>
      <c r="C1" s="1"/>
      <c r="D1" s="1"/>
      <c r="E1" s="1"/>
      <c r="F1" s="1"/>
      <c r="G1" s="1"/>
      <c r="H1" s="1"/>
      <c r="I1" s="1"/>
      <c r="J1" s="1"/>
      <c r="K1" s="1"/>
      <c r="L1" s="1"/>
      <c r="M1" s="1"/>
      <c r="AA1" s="2" t="s">
        <v>0</v>
      </c>
    </row>
    <row r="2" spans="1:27" ht="28.05" customHeight="1" x14ac:dyDescent="0.45">
      <c r="A2" s="3"/>
      <c r="B2" s="134" t="s">
        <v>824</v>
      </c>
      <c r="C2" s="127"/>
      <c r="D2" s="127"/>
      <c r="E2" s="127"/>
      <c r="F2" s="127"/>
      <c r="G2" s="127"/>
      <c r="H2" s="127"/>
      <c r="I2" s="127"/>
      <c r="J2" s="127"/>
      <c r="K2" s="127"/>
      <c r="L2" s="127"/>
      <c r="M2" s="127"/>
      <c r="N2" s="3"/>
    </row>
    <row r="3" spans="1:27" ht="22.05" customHeight="1" x14ac:dyDescent="0.45">
      <c r="A3" s="3"/>
      <c r="B3" s="141" t="s">
        <v>2</v>
      </c>
      <c r="C3" s="127"/>
      <c r="D3" s="127"/>
      <c r="E3" s="127"/>
      <c r="F3" s="127"/>
      <c r="G3" s="127"/>
      <c r="H3" s="127"/>
      <c r="I3" s="127"/>
      <c r="J3" s="127"/>
      <c r="K3" s="127"/>
      <c r="L3" s="127"/>
      <c r="M3" s="127"/>
      <c r="N3" s="3"/>
    </row>
    <row r="4" spans="1:27" ht="28.05" customHeight="1" x14ac:dyDescent="0.45">
      <c r="A4" s="4"/>
      <c r="B4" s="136" t="s">
        <v>825</v>
      </c>
      <c r="C4" s="127"/>
      <c r="D4" s="127"/>
      <c r="E4" s="127"/>
      <c r="F4" s="127"/>
      <c r="G4" s="127"/>
      <c r="H4" s="127"/>
      <c r="I4" s="127"/>
      <c r="J4" s="127"/>
      <c r="K4" s="127"/>
      <c r="L4" s="127"/>
      <c r="M4" s="127"/>
      <c r="N4" s="4"/>
    </row>
    <row r="5" spans="1:27" ht="6" customHeight="1" x14ac:dyDescent="0.45">
      <c r="A5" s="1"/>
      <c r="B5" s="1"/>
      <c r="C5" s="1"/>
      <c r="D5" s="1"/>
      <c r="E5" s="1"/>
      <c r="F5" s="1"/>
      <c r="G5" s="1"/>
      <c r="H5" s="1"/>
      <c r="I5" s="1"/>
      <c r="J5" s="1"/>
      <c r="K5" s="1"/>
      <c r="L5" s="1"/>
      <c r="M5" s="1"/>
    </row>
    <row r="6" spans="1:27" ht="34.049999999999997" customHeight="1" x14ac:dyDescent="0.45">
      <c r="A6" s="3"/>
      <c r="B6" s="40" t="s">
        <v>826</v>
      </c>
      <c r="C6" s="40" t="s">
        <v>827</v>
      </c>
      <c r="D6" s="40" t="s">
        <v>828</v>
      </c>
      <c r="E6" s="40" t="s">
        <v>829</v>
      </c>
      <c r="F6" s="40" t="s">
        <v>830</v>
      </c>
      <c r="G6" s="40" t="s">
        <v>831</v>
      </c>
      <c r="H6" s="40" t="s">
        <v>832</v>
      </c>
      <c r="I6" s="40" t="s">
        <v>833</v>
      </c>
      <c r="J6" s="40" t="s">
        <v>834</v>
      </c>
      <c r="K6" s="40" t="s">
        <v>835</v>
      </c>
      <c r="L6" s="40" t="s">
        <v>743</v>
      </c>
      <c r="N6" s="3"/>
    </row>
    <row r="7" spans="1:27" ht="49.05" customHeight="1" x14ac:dyDescent="0.45">
      <c r="A7" s="8"/>
      <c r="B7" s="118" t="s">
        <v>836</v>
      </c>
      <c r="C7" s="42"/>
      <c r="D7" s="42" t="s">
        <v>837</v>
      </c>
      <c r="E7" s="42" t="s">
        <v>838</v>
      </c>
      <c r="F7" s="42" t="s">
        <v>839</v>
      </c>
      <c r="G7" s="120" t="s">
        <v>749</v>
      </c>
      <c r="H7" s="120" t="s">
        <v>840</v>
      </c>
      <c r="I7" s="42" t="s">
        <v>841</v>
      </c>
      <c r="J7" s="119"/>
      <c r="K7" s="42"/>
      <c r="L7" s="42"/>
      <c r="N7" s="8"/>
    </row>
    <row r="8" spans="1:27" ht="49.05" customHeight="1" x14ac:dyDescent="0.45">
      <c r="A8" s="5"/>
      <c r="B8" s="121" t="s">
        <v>842</v>
      </c>
      <c r="C8" s="48"/>
      <c r="D8" s="48" t="s">
        <v>843</v>
      </c>
      <c r="E8" s="48" t="s">
        <v>411</v>
      </c>
      <c r="F8" s="48" t="s">
        <v>844</v>
      </c>
      <c r="G8" s="123" t="s">
        <v>749</v>
      </c>
      <c r="H8" s="123" t="s">
        <v>845</v>
      </c>
      <c r="I8" s="48" t="s">
        <v>846</v>
      </c>
      <c r="J8" s="122"/>
      <c r="K8" s="48"/>
      <c r="L8" s="48"/>
      <c r="N8" s="5"/>
    </row>
    <row r="9" spans="1:27" ht="49.05" customHeight="1" x14ac:dyDescent="0.45">
      <c r="A9" s="8"/>
      <c r="B9" s="118" t="s">
        <v>847</v>
      </c>
      <c r="C9" s="42"/>
      <c r="D9" s="42" t="s">
        <v>848</v>
      </c>
      <c r="E9" s="42" t="s">
        <v>849</v>
      </c>
      <c r="F9" s="42" t="s">
        <v>850</v>
      </c>
      <c r="G9" s="120" t="s">
        <v>750</v>
      </c>
      <c r="H9" s="120" t="s">
        <v>851</v>
      </c>
      <c r="I9" s="42" t="s">
        <v>852</v>
      </c>
      <c r="J9" s="119"/>
      <c r="K9" s="42"/>
      <c r="L9" s="42"/>
      <c r="N9" s="8"/>
    </row>
    <row r="10" spans="1:27" ht="49.05" customHeight="1" x14ac:dyDescent="0.45">
      <c r="A10" s="5"/>
      <c r="B10" s="121" t="s">
        <v>853</v>
      </c>
      <c r="C10" s="48"/>
      <c r="D10" s="48" t="s">
        <v>854</v>
      </c>
      <c r="E10" s="48" t="s">
        <v>454</v>
      </c>
      <c r="F10" s="48" t="s">
        <v>855</v>
      </c>
      <c r="G10" s="123" t="s">
        <v>750</v>
      </c>
      <c r="H10" s="123" t="s">
        <v>851</v>
      </c>
      <c r="I10" s="48" t="s">
        <v>856</v>
      </c>
      <c r="J10" s="122"/>
      <c r="K10" s="48"/>
      <c r="L10" s="48"/>
      <c r="N10" s="5"/>
    </row>
    <row r="11" spans="1:27" ht="49.05" customHeight="1" x14ac:dyDescent="0.45">
      <c r="A11" s="8"/>
      <c r="B11" s="118" t="s">
        <v>857</v>
      </c>
      <c r="C11" s="42"/>
      <c r="D11" s="42" t="s">
        <v>858</v>
      </c>
      <c r="E11" s="42" t="s">
        <v>337</v>
      </c>
      <c r="F11" s="42" t="s">
        <v>859</v>
      </c>
      <c r="G11" s="120" t="s">
        <v>749</v>
      </c>
      <c r="H11" s="120" t="s">
        <v>845</v>
      </c>
      <c r="I11" s="42" t="s">
        <v>860</v>
      </c>
      <c r="J11" s="119"/>
      <c r="K11" s="42"/>
      <c r="L11" s="42"/>
      <c r="N11" s="8"/>
    </row>
    <row r="12" spans="1:27" ht="49.05" customHeight="1" x14ac:dyDescent="0.45">
      <c r="A12" s="5"/>
      <c r="B12" s="121" t="s">
        <v>861</v>
      </c>
      <c r="C12" s="48"/>
      <c r="D12" s="48" t="s">
        <v>862</v>
      </c>
      <c r="E12" s="48" t="s">
        <v>863</v>
      </c>
      <c r="F12" s="48" t="s">
        <v>864</v>
      </c>
      <c r="G12" s="123" t="s">
        <v>750</v>
      </c>
      <c r="H12" s="123" t="s">
        <v>851</v>
      </c>
      <c r="I12" s="48" t="s">
        <v>366</v>
      </c>
      <c r="J12" s="122"/>
      <c r="K12" s="48"/>
      <c r="L12" s="48"/>
      <c r="N12" s="5"/>
    </row>
    <row r="13" spans="1:27" ht="22.05" customHeight="1" x14ac:dyDescent="0.45">
      <c r="A13" s="8"/>
      <c r="B13" s="42"/>
      <c r="C13" s="42"/>
      <c r="D13" s="42"/>
      <c r="E13" s="42"/>
      <c r="F13" s="42"/>
      <c r="G13" s="42"/>
      <c r="H13" s="42"/>
      <c r="I13" s="42"/>
      <c r="J13" s="42"/>
      <c r="K13" s="42"/>
      <c r="L13" s="42"/>
      <c r="N13" s="8"/>
    </row>
    <row r="14" spans="1:27" ht="22.05" customHeight="1" x14ac:dyDescent="0.45">
      <c r="A14" s="5"/>
      <c r="B14" s="48"/>
      <c r="C14" s="48"/>
      <c r="D14" s="48"/>
      <c r="E14" s="48"/>
      <c r="F14" s="48"/>
      <c r="G14" s="48"/>
      <c r="H14" s="48"/>
      <c r="I14" s="48"/>
      <c r="J14" s="48"/>
      <c r="K14" s="48"/>
      <c r="L14" s="48"/>
      <c r="N14" s="5"/>
    </row>
    <row r="15" spans="1:27" ht="22.05" customHeight="1" x14ac:dyDescent="0.45">
      <c r="A15" s="8"/>
      <c r="B15" s="42"/>
      <c r="C15" s="42"/>
      <c r="D15" s="42"/>
      <c r="E15" s="42"/>
      <c r="F15" s="42"/>
      <c r="G15" s="42"/>
      <c r="H15" s="42"/>
      <c r="I15" s="42"/>
      <c r="J15" s="42"/>
      <c r="K15" s="42"/>
      <c r="L15" s="42"/>
      <c r="N15" s="8"/>
    </row>
    <row r="16" spans="1:27" ht="22.05" customHeight="1" x14ac:dyDescent="0.45">
      <c r="A16" s="5"/>
      <c r="B16" s="48"/>
      <c r="C16" s="48"/>
      <c r="D16" s="48"/>
      <c r="E16" s="48"/>
      <c r="F16" s="48"/>
      <c r="G16" s="48"/>
      <c r="H16" s="48"/>
      <c r="I16" s="48"/>
      <c r="J16" s="48"/>
      <c r="K16" s="48"/>
      <c r="L16" s="48"/>
      <c r="N16" s="5"/>
    </row>
    <row r="17" spans="1:14" ht="22.05" customHeight="1" x14ac:dyDescent="0.45">
      <c r="A17" s="8"/>
      <c r="B17" s="42"/>
      <c r="C17" s="42"/>
      <c r="D17" s="42"/>
      <c r="E17" s="42"/>
      <c r="F17" s="42"/>
      <c r="G17" s="42"/>
      <c r="H17" s="42"/>
      <c r="I17" s="42"/>
      <c r="J17" s="42"/>
      <c r="K17" s="42"/>
      <c r="L17" s="42"/>
      <c r="N17" s="8"/>
    </row>
    <row r="18" spans="1:14" ht="22.05" customHeight="1" x14ac:dyDescent="0.45">
      <c r="A18" s="5"/>
      <c r="B18" s="48"/>
      <c r="C18" s="48"/>
      <c r="D18" s="48"/>
      <c r="E18" s="48"/>
      <c r="F18" s="48"/>
      <c r="G18" s="48"/>
      <c r="H18" s="48"/>
      <c r="I18" s="48"/>
      <c r="J18" s="48"/>
      <c r="K18" s="48"/>
      <c r="L18" s="48"/>
      <c r="N18" s="5"/>
    </row>
    <row r="19" spans="1:14" ht="6" customHeight="1" x14ac:dyDescent="0.45">
      <c r="A19" s="1"/>
      <c r="B19" s="1"/>
      <c r="C19" s="1"/>
      <c r="D19" s="1"/>
      <c r="E19" s="1"/>
      <c r="F19" s="1"/>
      <c r="G19" s="1"/>
      <c r="H19" s="1"/>
      <c r="I19" s="1"/>
      <c r="J19" s="1"/>
      <c r="K19" s="1"/>
      <c r="L19" s="1"/>
      <c r="M19" s="1"/>
    </row>
    <row r="20" spans="1:14" ht="20" customHeight="1" x14ac:dyDescent="0.45">
      <c r="A20" s="3"/>
      <c r="B20" s="129" t="s">
        <v>22</v>
      </c>
      <c r="C20" s="127"/>
      <c r="D20" s="127"/>
      <c r="E20" s="127"/>
      <c r="F20" s="127"/>
      <c r="G20" s="127"/>
      <c r="H20" s="127"/>
      <c r="I20" s="127"/>
      <c r="J20" s="127"/>
      <c r="K20" s="127"/>
      <c r="L20" s="127"/>
      <c r="M20" s="127"/>
      <c r="N20" s="3"/>
    </row>
  </sheetData>
  <autoFilter ref="B5:M18" xr:uid="{00000000-0009-0000-0000-00000A000000}"/>
  <mergeCells count="4">
    <mergeCell ref="B3:M3"/>
    <mergeCell ref="B4:M4"/>
    <mergeCell ref="B20:M20"/>
    <mergeCell ref="B2:M2"/>
  </mergeCells>
  <dataValidations count="2">
    <dataValidation type="list" allowBlank="1" sqref="G6:G50" xr:uid="{00000000-0002-0000-0A00-000000000000}">
      <formula1>"High,Medium,Low"</formula1>
    </dataValidation>
    <dataValidation type="list" allowBlank="1" sqref="H6:H50" xr:uid="{00000000-0002-0000-0A00-000001000000}">
      <formula1>"Inform,Consult,Collaborate,Lead"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C0C0"/>
  </sheetPr>
  <dimension ref="A1:AA45"/>
  <sheetViews>
    <sheetView showGridLines="0" zoomScale="80" workbookViewId="0">
      <pane xSplit="1" ySplit="5" topLeftCell="B6" activePane="bottomRight" state="frozen"/>
      <selection pane="topRight"/>
      <selection pane="bottomLeft"/>
      <selection pane="bottomRight" sqref="A1:XFD1"/>
    </sheetView>
  </sheetViews>
  <sheetFormatPr defaultRowHeight="14.25" x14ac:dyDescent="0.45"/>
  <cols>
    <col min="1" max="1" width="3" customWidth="1"/>
    <col min="2" max="2" width="18" customWidth="1"/>
    <col min="3" max="3" width="16" customWidth="1"/>
    <col min="4" max="4" width="26" customWidth="1"/>
    <col min="5" max="5" width="18" customWidth="1"/>
    <col min="6" max="6" width="24" customWidth="1"/>
    <col min="7" max="7" width="16" customWidth="1"/>
    <col min="8" max="8" width="4" customWidth="1"/>
    <col min="9" max="27" width="13" customWidth="1"/>
  </cols>
  <sheetData>
    <row r="1" spans="1:27" ht="1.05" customHeight="1" x14ac:dyDescent="0.45">
      <c r="A1" s="1"/>
      <c r="B1" s="1"/>
      <c r="C1" s="1"/>
      <c r="D1" s="1"/>
      <c r="E1" s="1"/>
      <c r="F1" s="1"/>
      <c r="G1" s="1"/>
      <c r="H1" s="1"/>
      <c r="AA1" s="2" t="s">
        <v>0</v>
      </c>
    </row>
    <row r="2" spans="1:27" ht="20" customHeight="1" x14ac:dyDescent="0.45">
      <c r="A2" s="103"/>
      <c r="B2" s="128" t="s">
        <v>865</v>
      </c>
      <c r="C2" s="127"/>
      <c r="D2" s="127"/>
      <c r="E2" s="127"/>
      <c r="F2" s="127"/>
      <c r="G2" s="127"/>
      <c r="H2" s="103"/>
    </row>
    <row r="3" spans="1:27" ht="34.049999999999997" customHeight="1" x14ac:dyDescent="0.45">
      <c r="A3" s="8"/>
      <c r="B3" s="126" t="s">
        <v>866</v>
      </c>
      <c r="C3" s="127"/>
      <c r="D3" s="127"/>
      <c r="E3" s="127"/>
      <c r="F3" s="127"/>
      <c r="G3" s="127"/>
      <c r="H3" s="8"/>
    </row>
    <row r="4" spans="1:27" ht="6" customHeight="1" x14ac:dyDescent="0.45">
      <c r="A4" s="1"/>
      <c r="B4" s="1"/>
      <c r="C4" s="1"/>
      <c r="D4" s="1"/>
      <c r="E4" s="1"/>
      <c r="F4" s="1"/>
      <c r="G4" s="1"/>
      <c r="H4" s="1"/>
    </row>
    <row r="5" spans="1:27" ht="34.049999999999997" customHeight="1" x14ac:dyDescent="0.45">
      <c r="A5" s="3"/>
      <c r="B5" s="40" t="s">
        <v>131</v>
      </c>
      <c r="C5" s="40" t="s">
        <v>116</v>
      </c>
      <c r="D5" s="40" t="s">
        <v>134</v>
      </c>
      <c r="E5" s="40" t="s">
        <v>40</v>
      </c>
      <c r="F5" s="40" t="s">
        <v>679</v>
      </c>
      <c r="G5" s="40" t="s">
        <v>867</v>
      </c>
      <c r="H5" s="3"/>
    </row>
    <row r="6" spans="1:27" ht="20" customHeight="1" x14ac:dyDescent="0.45">
      <c r="A6" s="8"/>
      <c r="B6" s="104" t="str">
        <f>'Controls Assessment'!F2</f>
        <v>GV.OC-01-M1</v>
      </c>
      <c r="C6" s="95" t="str">
        <f>'Controls Assessment'!A2</f>
        <v>Govern</v>
      </c>
      <c r="D6" s="88" t="str">
        <f>'Controls Assessment'!G2</f>
        <v>Mission and Cyber Risk Alignment</v>
      </c>
      <c r="E6" s="95" t="str">
        <f>'Controls Assessment'!O2</f>
        <v>Not Assessed</v>
      </c>
      <c r="F6" s="88" t="str">
        <f>'Controls Assessment'!R2</f>
        <v>Leadership and Ownership</v>
      </c>
      <c r="G6" s="96" t="str">
        <f>IF(OR('Controls Assessment'!O2="PARTIAL",'Controls Assessment'!O2="FAIL",'Controls Assessment'!O2="Not Assessed"),"SHOW","COMPLETE")</f>
        <v>SHOW</v>
      </c>
      <c r="H6" s="8"/>
    </row>
    <row r="7" spans="1:27" ht="20" customHeight="1" x14ac:dyDescent="0.45">
      <c r="A7" s="5"/>
      <c r="B7" s="105" t="str">
        <f>'Controls Assessment'!F3</f>
        <v>GV.OC-03-M1</v>
      </c>
      <c r="C7" s="94" t="str">
        <f>'Controls Assessment'!A3</f>
        <v>Govern</v>
      </c>
      <c r="D7" s="91" t="str">
        <f>'Controls Assessment'!G3</f>
        <v>Legal and Regulatory Requirements</v>
      </c>
      <c r="E7" s="94" t="str">
        <f>'Controls Assessment'!O3</f>
        <v>Not Assessed</v>
      </c>
      <c r="F7" s="91" t="str">
        <f>'Controls Assessment'!R3</f>
        <v>Legal and Compliance</v>
      </c>
      <c r="G7" s="97" t="str">
        <f>IF(OR('Controls Assessment'!O3="PARTIAL",'Controls Assessment'!O3="FAIL",'Controls Assessment'!O3="Not Assessed"),"SHOW","COMPLETE")</f>
        <v>SHOW</v>
      </c>
      <c r="H7" s="5"/>
    </row>
    <row r="8" spans="1:27" ht="20" customHeight="1" x14ac:dyDescent="0.45">
      <c r="A8" s="8"/>
      <c r="B8" s="104" t="str">
        <f>'Controls Assessment'!F4</f>
        <v>GV.RR-02-M1</v>
      </c>
      <c r="C8" s="95" t="str">
        <f>'Controls Assessment'!A4</f>
        <v>Govern</v>
      </c>
      <c r="D8" s="88" t="str">
        <f>'Controls Assessment'!G4</f>
        <v>Cybersecurity Roles and Responsibilities</v>
      </c>
      <c r="E8" s="95" t="str">
        <f>'Controls Assessment'!O4</f>
        <v>Not Assessed</v>
      </c>
      <c r="F8" s="88" t="str">
        <f>'Controls Assessment'!R4</f>
        <v>Leadership and Ownership</v>
      </c>
      <c r="G8" s="96" t="str">
        <f>IF(OR('Controls Assessment'!O4="PARTIAL",'Controls Assessment'!O4="FAIL",'Controls Assessment'!O4="Not Assessed"),"SHOW","COMPLETE")</f>
        <v>SHOW</v>
      </c>
      <c r="H8" s="8"/>
    </row>
    <row r="9" spans="1:27" ht="20" customHeight="1" x14ac:dyDescent="0.45">
      <c r="A9" s="5"/>
      <c r="B9" s="105" t="str">
        <f>'Controls Assessment'!F5</f>
        <v>GV.OC-04-M1</v>
      </c>
      <c r="C9" s="94" t="str">
        <f>'Controls Assessment'!A5</f>
        <v>Govern</v>
      </c>
      <c r="D9" s="91" t="str">
        <f>'Controls Assessment'!G5</f>
        <v>Critical Asset Impact Assessment</v>
      </c>
      <c r="E9" s="94" t="str">
        <f>'Controls Assessment'!O5</f>
        <v>Not Assessed</v>
      </c>
      <c r="F9" s="91" t="str">
        <f>'Controls Assessment'!R5</f>
        <v>Leadership and Ownership</v>
      </c>
      <c r="G9" s="97" t="str">
        <f>IF(OR('Controls Assessment'!O5="PARTIAL",'Controls Assessment'!O5="FAIL",'Controls Assessment'!O5="Not Assessed"),"SHOW","COMPLETE")</f>
        <v>SHOW</v>
      </c>
      <c r="H9" s="5"/>
    </row>
    <row r="10" spans="1:27" ht="20" customHeight="1" x14ac:dyDescent="0.45">
      <c r="A10" s="8"/>
      <c r="B10" s="104" t="str">
        <f>'Controls Assessment'!F6</f>
        <v>GV.RM-04-M1</v>
      </c>
      <c r="C10" s="95" t="str">
        <f>'Controls Assessment'!A6</f>
        <v>Govern</v>
      </c>
      <c r="D10" s="88" t="str">
        <f>'Controls Assessment'!G6</f>
        <v>Cyber Insurance Evaluation</v>
      </c>
      <c r="E10" s="95" t="str">
        <f>'Controls Assessment'!O6</f>
        <v>Not Assessed</v>
      </c>
      <c r="F10" s="88" t="str">
        <f>'Controls Assessment'!R6</f>
        <v>Leadership and Ownership</v>
      </c>
      <c r="G10" s="96" t="str">
        <f>IF(OR('Controls Assessment'!O6="PARTIAL",'Controls Assessment'!O6="FAIL",'Controls Assessment'!O6="Not Assessed"),"SHOW","COMPLETE")</f>
        <v>SHOW</v>
      </c>
      <c r="H10" s="8"/>
    </row>
    <row r="11" spans="1:27" ht="20" customHeight="1" x14ac:dyDescent="0.45">
      <c r="A11" s="5"/>
      <c r="B11" s="105" t="str">
        <f>'Controls Assessment'!F7</f>
        <v>GV.SC-06-M1</v>
      </c>
      <c r="C11" s="94" t="str">
        <f>'Controls Assessment'!A7</f>
        <v>Govern</v>
      </c>
      <c r="D11" s="91" t="str">
        <f>'Controls Assessment'!G7</f>
        <v>Supplier Cyber Risk Due Diligence</v>
      </c>
      <c r="E11" s="94" t="str">
        <f>'Controls Assessment'!O7</f>
        <v>Not Assessed</v>
      </c>
      <c r="F11" s="91" t="str">
        <f>'Controls Assessment'!R7</f>
        <v>Procurement and Vendor Management</v>
      </c>
      <c r="G11" s="97" t="str">
        <f>IF(OR('Controls Assessment'!O7="PARTIAL",'Controls Assessment'!O7="FAIL",'Controls Assessment'!O7="Not Assessed"),"SHOW","COMPLETE")</f>
        <v>SHOW</v>
      </c>
      <c r="H11" s="5"/>
    </row>
    <row r="12" spans="1:27" ht="20" customHeight="1" x14ac:dyDescent="0.45">
      <c r="A12" s="8"/>
      <c r="B12" s="104" t="str">
        <f>'Controls Assessment'!F8</f>
        <v>GV.RM-03-M1</v>
      </c>
      <c r="C12" s="95" t="str">
        <f>'Controls Assessment'!A8</f>
        <v>Govern</v>
      </c>
      <c r="D12" s="88" t="str">
        <f>'Controls Assessment'!G8</f>
        <v>Enterprise Risk Integration</v>
      </c>
      <c r="E12" s="95" t="str">
        <f>'Controls Assessment'!O8</f>
        <v>Not Assessed</v>
      </c>
      <c r="F12" s="88" t="str">
        <f>'Controls Assessment'!R8</f>
        <v>Risk Management</v>
      </c>
      <c r="G12" s="96" t="str">
        <f>IF(OR('Controls Assessment'!O8="PARTIAL",'Controls Assessment'!O8="FAIL",'Controls Assessment'!O8="Not Assessed"),"SHOW","COMPLETE")</f>
        <v>SHOW</v>
      </c>
      <c r="H12" s="8"/>
    </row>
    <row r="13" spans="1:27" ht="20" customHeight="1" x14ac:dyDescent="0.45">
      <c r="A13" s="5"/>
      <c r="B13" s="105" t="str">
        <f>'Controls Assessment'!F9</f>
        <v>GV.RR-01-M1</v>
      </c>
      <c r="C13" s="94" t="str">
        <f>'Controls Assessment'!A9</f>
        <v>Govern</v>
      </c>
      <c r="D13" s="91" t="str">
        <f>'Controls Assessment'!G9</f>
        <v>Leadership Cybersecurity Culture</v>
      </c>
      <c r="E13" s="94" t="str">
        <f>'Controls Assessment'!O9</f>
        <v>Not Assessed</v>
      </c>
      <c r="F13" s="91" t="str">
        <f>'Controls Assessment'!R9</f>
        <v>Leadership and Ownership</v>
      </c>
      <c r="G13" s="97" t="str">
        <f>IF(OR('Controls Assessment'!O9="PARTIAL",'Controls Assessment'!O9="FAIL",'Controls Assessment'!O9="Not Assessed"),"SHOW","COMPLETE")</f>
        <v>SHOW</v>
      </c>
      <c r="H13" s="5"/>
    </row>
    <row r="14" spans="1:27" ht="20" customHeight="1" x14ac:dyDescent="0.45">
      <c r="A14" s="8"/>
      <c r="B14" s="104" t="str">
        <f>'Controls Assessment'!F10</f>
        <v>GV.PO-01-M1</v>
      </c>
      <c r="C14" s="95" t="str">
        <f>'Controls Assessment'!A10</f>
        <v>Govern</v>
      </c>
      <c r="D14" s="88" t="str">
        <f>'Controls Assessment'!G10</f>
        <v>Cybersecurity Policy</v>
      </c>
      <c r="E14" s="95" t="str">
        <f>'Controls Assessment'!O10</f>
        <v>Not Assessed</v>
      </c>
      <c r="F14" s="88" t="str">
        <f>'Controls Assessment'!R10</f>
        <v>Leadership and Ownership</v>
      </c>
      <c r="G14" s="96" t="str">
        <f>IF(OR('Controls Assessment'!O10="PARTIAL",'Controls Assessment'!O10="FAIL",'Controls Assessment'!O10="Not Assessed"),"SHOW","COMPLETE")</f>
        <v>SHOW</v>
      </c>
      <c r="H14" s="8"/>
    </row>
    <row r="15" spans="1:27" ht="20" customHeight="1" x14ac:dyDescent="0.45">
      <c r="A15" s="5"/>
      <c r="B15" s="105" t="str">
        <f>'Controls Assessment'!F11</f>
        <v>ID.AM-01-M1</v>
      </c>
      <c r="C15" s="94" t="str">
        <f>'Controls Assessment'!A11</f>
        <v>Identify</v>
      </c>
      <c r="D15" s="91" t="str">
        <f>'Controls Assessment'!G11</f>
        <v>Asset Inventory</v>
      </c>
      <c r="E15" s="94" t="str">
        <f>'Controls Assessment'!O11</f>
        <v>Not Assessed</v>
      </c>
      <c r="F15" s="91" t="str">
        <f>'Controls Assessment'!R11</f>
        <v>IT Operations</v>
      </c>
      <c r="G15" s="97" t="str">
        <f>IF(OR('Controls Assessment'!O11="PARTIAL",'Controls Assessment'!O11="FAIL",'Controls Assessment'!O11="Not Assessed"),"SHOW","COMPLETE")</f>
        <v>SHOW</v>
      </c>
      <c r="H15" s="5"/>
    </row>
    <row r="16" spans="1:27" ht="20" customHeight="1" x14ac:dyDescent="0.45">
      <c r="A16" s="8"/>
      <c r="B16" s="104" t="str">
        <f>'Controls Assessment'!F12</f>
        <v>ID.RA-01-M1</v>
      </c>
      <c r="C16" s="95" t="str">
        <f>'Controls Assessment'!A12</f>
        <v>Identify</v>
      </c>
      <c r="D16" s="88" t="str">
        <f>'Controls Assessment'!G12</f>
        <v>Vulnerability Identification</v>
      </c>
      <c r="E16" s="95" t="str">
        <f>'Controls Assessment'!O12</f>
        <v>Not Assessed</v>
      </c>
      <c r="F16" s="88" t="str">
        <f>'Controls Assessment'!R12</f>
        <v>IT Operations</v>
      </c>
      <c r="G16" s="96" t="str">
        <f>IF(OR('Controls Assessment'!O12="PARTIAL",'Controls Assessment'!O12="FAIL",'Controls Assessment'!O12="Not Assessed"),"SHOW","COMPLETE")</f>
        <v>SHOW</v>
      </c>
      <c r="H16" s="8"/>
    </row>
    <row r="17" spans="1:8" ht="20" customHeight="1" x14ac:dyDescent="0.45">
      <c r="A17" s="5"/>
      <c r="B17" s="105" t="str">
        <f>'Controls Assessment'!F13</f>
        <v>ID.IM-01-M1</v>
      </c>
      <c r="C17" s="94" t="str">
        <f>'Controls Assessment'!A13</f>
        <v>Identify</v>
      </c>
      <c r="D17" s="91" t="str">
        <f>'Controls Assessment'!G13</f>
        <v>Cybersecurity Program Effectiveness</v>
      </c>
      <c r="E17" s="94" t="str">
        <f>'Controls Assessment'!O13</f>
        <v>Not Assessed</v>
      </c>
      <c r="F17" s="91" t="str">
        <f>'Controls Assessment'!R13</f>
        <v>Risk Management</v>
      </c>
      <c r="G17" s="97" t="str">
        <f>IF(OR('Controls Assessment'!O13="PARTIAL",'Controls Assessment'!O13="FAIL",'Controls Assessment'!O13="Not Assessed"),"SHOW","COMPLETE")</f>
        <v>SHOW</v>
      </c>
      <c r="H17" s="5"/>
    </row>
    <row r="18" spans="1:8" ht="20" customHeight="1" x14ac:dyDescent="0.45">
      <c r="A18" s="8"/>
      <c r="B18" s="104" t="str">
        <f>'Controls Assessment'!F14</f>
        <v>ID.AM-07-M1</v>
      </c>
      <c r="C18" s="95" t="str">
        <f>'Controls Assessment'!A14</f>
        <v>Identify</v>
      </c>
      <c r="D18" s="88" t="str">
        <f>'Controls Assessment'!G14</f>
        <v>Data Inventory and Classification</v>
      </c>
      <c r="E18" s="95" t="str">
        <f>'Controls Assessment'!O14</f>
        <v>Not Assessed</v>
      </c>
      <c r="F18" s="88" t="str">
        <f>'Controls Assessment'!R14</f>
        <v>IT Operations</v>
      </c>
      <c r="G18" s="96" t="str">
        <f>IF(OR('Controls Assessment'!O14="PARTIAL",'Controls Assessment'!O14="FAIL",'Controls Assessment'!O14="Not Assessed"),"SHOW","COMPLETE")</f>
        <v>SHOW</v>
      </c>
      <c r="H18" s="8"/>
    </row>
    <row r="19" spans="1:8" ht="20" customHeight="1" x14ac:dyDescent="0.45">
      <c r="A19" s="5"/>
      <c r="B19" s="105" t="str">
        <f>'Controls Assessment'!F15</f>
        <v>ID.RA-05-M1</v>
      </c>
      <c r="C19" s="94" t="str">
        <f>'Controls Assessment'!A15</f>
        <v>Identify</v>
      </c>
      <c r="D19" s="91" t="str">
        <f>'Controls Assessment'!G15</f>
        <v>Threat and Risk Register</v>
      </c>
      <c r="E19" s="94" t="str">
        <f>'Controls Assessment'!O15</f>
        <v>Not Assessed</v>
      </c>
      <c r="F19" s="91" t="str">
        <f>'Controls Assessment'!R15</f>
        <v>Risk Management</v>
      </c>
      <c r="G19" s="97" t="str">
        <f>IF(OR('Controls Assessment'!O15="PARTIAL",'Controls Assessment'!O15="FAIL",'Controls Assessment'!O15="Not Assessed"),"SHOW","COMPLETE")</f>
        <v>SHOW</v>
      </c>
      <c r="H19" s="5"/>
    </row>
    <row r="20" spans="1:8" ht="20" customHeight="1" x14ac:dyDescent="0.45">
      <c r="A20" s="8"/>
      <c r="B20" s="104" t="str">
        <f>'Controls Assessment'!F16</f>
        <v>ID.IM-04-M1</v>
      </c>
      <c r="C20" s="95" t="str">
        <f>'Controls Assessment'!A16</f>
        <v>Identify</v>
      </c>
      <c r="D20" s="88" t="str">
        <f>'Controls Assessment'!G16</f>
        <v>Cybersecurity Communication to Staff</v>
      </c>
      <c r="E20" s="95" t="str">
        <f>'Controls Assessment'!O16</f>
        <v>Not Assessed</v>
      </c>
      <c r="F20" s="88" t="str">
        <f>'Controls Assessment'!R16</f>
        <v>Human Resources</v>
      </c>
      <c r="G20" s="96" t="str">
        <f>IF(OR('Controls Assessment'!O16="PARTIAL",'Controls Assessment'!O16="FAIL",'Controls Assessment'!O16="Not Assessed"),"SHOW","COMPLETE")</f>
        <v>SHOW</v>
      </c>
      <c r="H20" s="8"/>
    </row>
    <row r="21" spans="1:8" ht="20" customHeight="1" x14ac:dyDescent="0.45">
      <c r="A21" s="5"/>
      <c r="B21" s="105" t="str">
        <f>'Controls Assessment'!F17</f>
        <v>PR.AA-05-M1</v>
      </c>
      <c r="C21" s="94" t="str">
        <f>'Controls Assessment'!A17</f>
        <v>Protect</v>
      </c>
      <c r="D21" s="91" t="str">
        <f>'Controls Assessment'!G17</f>
        <v>Access Control and Least Privilege</v>
      </c>
      <c r="E21" s="94" t="str">
        <f>'Controls Assessment'!O17</f>
        <v>Not Assessed</v>
      </c>
      <c r="F21" s="91" t="str">
        <f>'Controls Assessment'!R17</f>
        <v>IT Operations</v>
      </c>
      <c r="G21" s="97" t="str">
        <f>IF(OR('Controls Assessment'!O17="PARTIAL",'Controls Assessment'!O17="FAIL",'Controls Assessment'!O17="Not Assessed"),"SHOW","COMPLETE")</f>
        <v>SHOW</v>
      </c>
      <c r="H21" s="5"/>
    </row>
    <row r="22" spans="1:8" ht="20" customHeight="1" x14ac:dyDescent="0.45">
      <c r="A22" s="8"/>
      <c r="B22" s="104" t="str">
        <f>'Controls Assessment'!F18</f>
        <v>PR.AT-01-M1</v>
      </c>
      <c r="C22" s="95" t="str">
        <f>'Controls Assessment'!A18</f>
        <v>Protect</v>
      </c>
      <c r="D22" s="88" t="str">
        <f>'Controls Assessment'!G18</f>
        <v>Security Awareness Training</v>
      </c>
      <c r="E22" s="95" t="str">
        <f>'Controls Assessment'!O18</f>
        <v>Not Assessed</v>
      </c>
      <c r="F22" s="88" t="str">
        <f>'Controls Assessment'!R18</f>
        <v>Human Resources</v>
      </c>
      <c r="G22" s="96" t="str">
        <f>IF(OR('Controls Assessment'!O18="PARTIAL",'Controls Assessment'!O18="FAIL",'Controls Assessment'!O18="Not Assessed"),"SHOW","COMPLETE")</f>
        <v>SHOW</v>
      </c>
      <c r="H22" s="8"/>
    </row>
    <row r="23" spans="1:8" ht="20" customHeight="1" x14ac:dyDescent="0.45">
      <c r="A23" s="5"/>
      <c r="B23" s="105" t="str">
        <f>'Controls Assessment'!F19</f>
        <v>PR.AA-03-M1</v>
      </c>
      <c r="C23" s="94" t="str">
        <f>'Controls Assessment'!A19</f>
        <v>Protect</v>
      </c>
      <c r="D23" s="91" t="str">
        <f>'Controls Assessment'!G19</f>
        <v>Multi-Factor Authentication</v>
      </c>
      <c r="E23" s="94" t="str">
        <f>'Controls Assessment'!O19</f>
        <v>Not Assessed</v>
      </c>
      <c r="F23" s="91" t="str">
        <f>'Controls Assessment'!R19</f>
        <v>IT Operations</v>
      </c>
      <c r="G23" s="97" t="str">
        <f>IF(OR('Controls Assessment'!O19="PARTIAL",'Controls Assessment'!O19="FAIL",'Controls Assessment'!O19="Not Assessed"),"SHOW","COMPLETE")</f>
        <v>SHOW</v>
      </c>
      <c r="H23" s="5"/>
    </row>
    <row r="24" spans="1:8" ht="20" customHeight="1" x14ac:dyDescent="0.45">
      <c r="A24" s="8"/>
      <c r="B24" s="104" t="str">
        <f>'Controls Assessment'!F20</f>
        <v>PR.AA-01-M1</v>
      </c>
      <c r="C24" s="95" t="str">
        <f>'Controls Assessment'!A20</f>
        <v>Protect</v>
      </c>
      <c r="D24" s="88" t="str">
        <f>'Controls Assessment'!G20</f>
        <v>Credential and Password Management</v>
      </c>
      <c r="E24" s="95" t="str">
        <f>'Controls Assessment'!O20</f>
        <v>Not Assessed</v>
      </c>
      <c r="F24" s="88" t="str">
        <f>'Controls Assessment'!R20</f>
        <v>IT Operations</v>
      </c>
      <c r="G24" s="96" t="str">
        <f>IF(OR('Controls Assessment'!O20="PARTIAL",'Controls Assessment'!O20="FAIL",'Controls Assessment'!O20="Not Assessed"),"SHOW","COMPLETE")</f>
        <v>SHOW</v>
      </c>
      <c r="H24" s="8"/>
    </row>
    <row r="25" spans="1:8" ht="20" customHeight="1" x14ac:dyDescent="0.45">
      <c r="A25" s="5"/>
      <c r="B25" s="105" t="str">
        <f>'Controls Assessment'!F21</f>
        <v>PR.PS-02-M1</v>
      </c>
      <c r="C25" s="94" t="str">
        <f>'Controls Assessment'!A21</f>
        <v>Protect</v>
      </c>
      <c r="D25" s="91" t="str">
        <f>'Controls Assessment'!G21</f>
        <v>Software Patching and Updates</v>
      </c>
      <c r="E25" s="94" t="str">
        <f>'Controls Assessment'!O21</f>
        <v>Not Assessed</v>
      </c>
      <c r="F25" s="91" t="str">
        <f>'Controls Assessment'!R21</f>
        <v>IT Operations</v>
      </c>
      <c r="G25" s="97" t="str">
        <f>IF(OR('Controls Assessment'!O21="PARTIAL",'Controls Assessment'!O21="FAIL",'Controls Assessment'!O21="Not Assessed"),"SHOW","COMPLETE")</f>
        <v>SHOW</v>
      </c>
      <c r="H25" s="5"/>
    </row>
    <row r="26" spans="1:8" ht="20" customHeight="1" x14ac:dyDescent="0.45">
      <c r="A26" s="8"/>
      <c r="B26" s="104" t="str">
        <f>'Controls Assessment'!F22</f>
        <v>PR.DS-11-M1</v>
      </c>
      <c r="C26" s="95" t="str">
        <f>'Controls Assessment'!A22</f>
        <v>Protect</v>
      </c>
      <c r="D26" s="88" t="str">
        <f>'Controls Assessment'!G22</f>
        <v>Data Backup and Recovery Testing</v>
      </c>
      <c r="E26" s="95" t="str">
        <f>'Controls Assessment'!O22</f>
        <v>Not Assessed</v>
      </c>
      <c r="F26" s="88" t="str">
        <f>'Controls Assessment'!R22</f>
        <v>IT Operations</v>
      </c>
      <c r="G26" s="96" t="str">
        <f>IF(OR('Controls Assessment'!O22="PARTIAL",'Controls Assessment'!O22="FAIL",'Controls Assessment'!O22="Not Assessed"),"SHOW","COMPLETE")</f>
        <v>SHOW</v>
      </c>
      <c r="H26" s="8"/>
    </row>
    <row r="27" spans="1:8" ht="20" customHeight="1" x14ac:dyDescent="0.45">
      <c r="A27" s="5"/>
      <c r="B27" s="105" t="str">
        <f>'Controls Assessment'!F23</f>
        <v>PR.DS-01-M1</v>
      </c>
      <c r="C27" s="94" t="str">
        <f>'Controls Assessment'!A23</f>
        <v>Protect</v>
      </c>
      <c r="D27" s="91" t="str">
        <f>'Controls Assessment'!G23</f>
        <v>Device Encryption</v>
      </c>
      <c r="E27" s="94" t="str">
        <f>'Controls Assessment'!O23</f>
        <v>Not Assessed</v>
      </c>
      <c r="F27" s="91" t="str">
        <f>'Controls Assessment'!R23</f>
        <v>IT Operations</v>
      </c>
      <c r="G27" s="97" t="str">
        <f>IF(OR('Controls Assessment'!O23="PARTIAL",'Controls Assessment'!O23="FAIL",'Controls Assessment'!O23="Not Assessed"),"SHOW","COMPLETE")</f>
        <v>SHOW</v>
      </c>
      <c r="H27" s="5"/>
    </row>
    <row r="28" spans="1:8" ht="20" customHeight="1" x14ac:dyDescent="0.45">
      <c r="A28" s="8"/>
      <c r="B28" s="104" t="str">
        <f>'Controls Assessment'!F24</f>
        <v>DE.CM-01-M1</v>
      </c>
      <c r="C28" s="95" t="str">
        <f>'Controls Assessment'!A24</f>
        <v>Detect</v>
      </c>
      <c r="D28" s="88" t="str">
        <f>'Controls Assessment'!G24</f>
        <v>Incident Indicator Awareness</v>
      </c>
      <c r="E28" s="95" t="str">
        <f>'Controls Assessment'!O24</f>
        <v>Not Assessed</v>
      </c>
      <c r="F28" s="88" t="str">
        <f>'Controls Assessment'!R24</f>
        <v>IT Operations</v>
      </c>
      <c r="G28" s="96" t="str">
        <f>IF(OR('Controls Assessment'!O24="PARTIAL",'Controls Assessment'!O24="FAIL",'Controls Assessment'!O24="Not Assessed"),"SHOW","COMPLETE")</f>
        <v>SHOW</v>
      </c>
      <c r="H28" s="8"/>
    </row>
    <row r="29" spans="1:8" ht="20" customHeight="1" x14ac:dyDescent="0.45">
      <c r="A29" s="5"/>
      <c r="B29" s="105" t="str">
        <f>'Controls Assessment'!F25</f>
        <v>DE.CM-06-M1</v>
      </c>
      <c r="C29" s="94" t="str">
        <f>'Controls Assessment'!A25</f>
        <v>Detect</v>
      </c>
      <c r="D29" s="91" t="str">
        <f>'Controls Assessment'!G25</f>
        <v>Technology and Services Monitoring</v>
      </c>
      <c r="E29" s="94" t="str">
        <f>'Controls Assessment'!O25</f>
        <v>Not Assessed</v>
      </c>
      <c r="F29" s="91" t="str">
        <f>'Controls Assessment'!R25</f>
        <v>IT Operations</v>
      </c>
      <c r="G29" s="97" t="str">
        <f>IF(OR('Controls Assessment'!O25="PARTIAL",'Controls Assessment'!O25="FAIL",'Controls Assessment'!O25="Not Assessed"),"SHOW","COMPLETE")</f>
        <v>SHOW</v>
      </c>
      <c r="H29" s="5"/>
    </row>
    <row r="30" spans="1:8" ht="20" customHeight="1" x14ac:dyDescent="0.45">
      <c r="A30" s="8"/>
      <c r="B30" s="104" t="str">
        <f>'Controls Assessment'!F26</f>
        <v>DE.CM-02-M1</v>
      </c>
      <c r="C30" s="95" t="str">
        <f>'Controls Assessment'!A26</f>
        <v>Detect</v>
      </c>
      <c r="D30" s="88" t="str">
        <f>'Controls Assessment'!G26</f>
        <v>Physical Environment Monitoring</v>
      </c>
      <c r="E30" s="95" t="str">
        <f>'Controls Assessment'!O26</f>
        <v>Not Assessed</v>
      </c>
      <c r="F30" s="88" t="str">
        <f>'Controls Assessment'!R26</f>
        <v>Facilities and Physical Security</v>
      </c>
      <c r="G30" s="96" t="str">
        <f>IF(OR('Controls Assessment'!O26="PARTIAL",'Controls Assessment'!O26="FAIL",'Controls Assessment'!O26="Not Assessed"),"SHOW","COMPLETE")</f>
        <v>SHOW</v>
      </c>
      <c r="H30" s="8"/>
    </row>
    <row r="31" spans="1:8" ht="20" customHeight="1" x14ac:dyDescent="0.45">
      <c r="A31" s="5"/>
      <c r="B31" s="105" t="str">
        <f>'Controls Assessment'!F27</f>
        <v>DE.CM-09-M1</v>
      </c>
      <c r="C31" s="94" t="str">
        <f>'Controls Assessment'!A27</f>
        <v>Detect</v>
      </c>
      <c r="D31" s="91" t="str">
        <f>'Controls Assessment'!G27</f>
        <v>Endpoint Protection</v>
      </c>
      <c r="E31" s="94" t="str">
        <f>'Controls Assessment'!O27</f>
        <v>Not Assessed</v>
      </c>
      <c r="F31" s="91" t="str">
        <f>'Controls Assessment'!R27</f>
        <v>IT Operations</v>
      </c>
      <c r="G31" s="97" t="str">
        <f>IF(OR('Controls Assessment'!O27="PARTIAL",'Controls Assessment'!O27="FAIL",'Controls Assessment'!O27="Not Assessed"),"SHOW","COMPLETE")</f>
        <v>SHOW</v>
      </c>
      <c r="H31" s="5"/>
    </row>
    <row r="32" spans="1:8" ht="20" customHeight="1" x14ac:dyDescent="0.45">
      <c r="A32" s="8"/>
      <c r="B32" s="104" t="str">
        <f>'Controls Assessment'!F28</f>
        <v>DE.AE-06-M1</v>
      </c>
      <c r="C32" s="95" t="str">
        <f>'Controls Assessment'!A28</f>
        <v>Detect</v>
      </c>
      <c r="D32" s="88" t="str">
        <f>'Controls Assessment'!G28</f>
        <v>Incident Responder Communication and Analysis</v>
      </c>
      <c r="E32" s="95" t="str">
        <f>'Controls Assessment'!O28</f>
        <v>Not Assessed</v>
      </c>
      <c r="F32" s="88" t="str">
        <f>'Controls Assessment'!R28</f>
        <v>IT Operations</v>
      </c>
      <c r="G32" s="96" t="str">
        <f>IF(OR('Controls Assessment'!O28="PARTIAL",'Controls Assessment'!O28="FAIL",'Controls Assessment'!O28="Not Assessed"),"SHOW","COMPLETE")</f>
        <v>SHOW</v>
      </c>
      <c r="H32" s="8"/>
    </row>
    <row r="33" spans="1:8" ht="20" customHeight="1" x14ac:dyDescent="0.45">
      <c r="A33" s="5"/>
      <c r="B33" s="105" t="str">
        <f>'Controls Assessment'!F29</f>
        <v>RS.MA-01-M1</v>
      </c>
      <c r="C33" s="94" t="str">
        <f>'Controls Assessment'!A29</f>
        <v>Respond</v>
      </c>
      <c r="D33" s="91" t="str">
        <f>'Controls Assessment'!G29</f>
        <v>Incident Response Plan Documentation</v>
      </c>
      <c r="E33" s="94" t="str">
        <f>'Controls Assessment'!O29</f>
        <v>Not Assessed</v>
      </c>
      <c r="F33" s="91" t="str">
        <f>'Controls Assessment'!R29</f>
        <v>Leadership and Ownership</v>
      </c>
      <c r="G33" s="97" t="str">
        <f>IF(OR('Controls Assessment'!O29="PARTIAL",'Controls Assessment'!O29="FAIL",'Controls Assessment'!O29="Not Assessed"),"SHOW","COMPLETE")</f>
        <v>SHOW</v>
      </c>
      <c r="H33" s="5"/>
    </row>
    <row r="34" spans="1:8" ht="20" customHeight="1" x14ac:dyDescent="0.45">
      <c r="A34" s="8"/>
      <c r="B34" s="104" t="str">
        <f>'Controls Assessment'!F30</f>
        <v>RS.MA-01-M2</v>
      </c>
      <c r="C34" s="95" t="str">
        <f>'Controls Assessment'!A30</f>
        <v>Respond</v>
      </c>
      <c r="D34" s="88" t="str">
        <f>'Controls Assessment'!G30</f>
        <v>Incident Response Capability Testing</v>
      </c>
      <c r="E34" s="95" t="str">
        <f>'Controls Assessment'!O30</f>
        <v>Not Assessed</v>
      </c>
      <c r="F34" s="88" t="str">
        <f>'Controls Assessment'!R30</f>
        <v>Leadership and Ownership</v>
      </c>
      <c r="G34" s="96" t="str">
        <f>IF(OR('Controls Assessment'!O30="PARTIAL",'Controls Assessment'!O30="FAIL",'Controls Assessment'!O30="Not Assessed"),"SHOW","COMPLETE")</f>
        <v>SHOW</v>
      </c>
      <c r="H34" s="8"/>
    </row>
    <row r="35" spans="1:8" ht="20" customHeight="1" x14ac:dyDescent="0.45">
      <c r="A35" s="5"/>
      <c r="B35" s="105" t="str">
        <f>'Controls Assessment'!F31</f>
        <v>RS.AN-03-M1</v>
      </c>
      <c r="C35" s="94" t="str">
        <f>'Controls Assessment'!A31</f>
        <v>Respond</v>
      </c>
      <c r="D35" s="91" t="str">
        <f>'Controls Assessment'!G31</f>
        <v>Incident Severity Analysis and Root Cause</v>
      </c>
      <c r="E35" s="94" t="str">
        <f>'Controls Assessment'!O31</f>
        <v>Not Assessed</v>
      </c>
      <c r="F35" s="91" t="str">
        <f>'Controls Assessment'!R31</f>
        <v>IT Operations</v>
      </c>
      <c r="G35" s="97" t="str">
        <f>IF(OR('Controls Assessment'!O31="PARTIAL",'Controls Assessment'!O31="FAIL",'Controls Assessment'!O31="Not Assessed"),"SHOW","COMPLETE")</f>
        <v>SHOW</v>
      </c>
      <c r="H35" s="5"/>
    </row>
    <row r="36" spans="1:8" ht="20" customHeight="1" x14ac:dyDescent="0.45">
      <c r="A36" s="8"/>
      <c r="B36" s="104" t="str">
        <f>'Controls Assessment'!F32</f>
        <v>RS.MI-01-M1</v>
      </c>
      <c r="C36" s="95" t="str">
        <f>'Controls Assessment'!A32</f>
        <v>Respond</v>
      </c>
      <c r="D36" s="88" t="str">
        <f>'Controls Assessment'!G32</f>
        <v>Incident Containment and Eradication</v>
      </c>
      <c r="E36" s="95" t="str">
        <f>'Controls Assessment'!O32</f>
        <v>Not Assessed</v>
      </c>
      <c r="F36" s="88" t="str">
        <f>'Controls Assessment'!R32</f>
        <v>IT Operations</v>
      </c>
      <c r="G36" s="96" t="str">
        <f>IF(OR('Controls Assessment'!O32="PARTIAL",'Controls Assessment'!O32="FAIL",'Controls Assessment'!O32="Not Assessed"),"SHOW","COMPLETE")</f>
        <v>SHOW</v>
      </c>
      <c r="H36" s="8"/>
    </row>
    <row r="37" spans="1:8" ht="20" customHeight="1" x14ac:dyDescent="0.45">
      <c r="A37" s="5"/>
      <c r="B37" s="105" t="str">
        <f>'Controls Assessment'!F33</f>
        <v>RS.CO-02-M1</v>
      </c>
      <c r="C37" s="94" t="str">
        <f>'Controls Assessment'!A33</f>
        <v>Respond</v>
      </c>
      <c r="D37" s="91" t="str">
        <f>'Controls Assessment'!G33</f>
        <v>Incident Stakeholder Notification</v>
      </c>
      <c r="E37" s="94" t="str">
        <f>'Controls Assessment'!O33</f>
        <v>Not Assessed</v>
      </c>
      <c r="F37" s="91" t="str">
        <f>'Controls Assessment'!R33</f>
        <v>Legal and Compliance</v>
      </c>
      <c r="G37" s="97" t="str">
        <f>IF(OR('Controls Assessment'!O33="PARTIAL",'Controls Assessment'!O33="FAIL",'Controls Assessment'!O33="Not Assessed"),"SHOW","COMPLETE")</f>
        <v>SHOW</v>
      </c>
      <c r="H37" s="5"/>
    </row>
    <row r="38" spans="1:8" ht="20" customHeight="1" x14ac:dyDescent="0.45">
      <c r="A38" s="8"/>
      <c r="B38" s="104" t="str">
        <f>'Controls Assessment'!F34</f>
        <v>RC.RP-01-M1</v>
      </c>
      <c r="C38" s="95" t="str">
        <f>'Controls Assessment'!A34</f>
        <v>Recover</v>
      </c>
      <c r="D38" s="88" t="str">
        <f>'Controls Assessment'!G34</f>
        <v>Recovery Responsibilities Definition</v>
      </c>
      <c r="E38" s="95" t="str">
        <f>'Controls Assessment'!O34</f>
        <v>Not Assessed</v>
      </c>
      <c r="F38" s="88" t="str">
        <f>'Controls Assessment'!R34</f>
        <v>IT Operations</v>
      </c>
      <c r="G38" s="96" t="str">
        <f>IF(OR('Controls Assessment'!O34="PARTIAL",'Controls Assessment'!O34="FAIL",'Controls Assessment'!O34="Not Assessed"),"SHOW","COMPLETE")</f>
        <v>SHOW</v>
      </c>
      <c r="H38" s="8"/>
    </row>
    <row r="39" spans="1:8" ht="20" customHeight="1" x14ac:dyDescent="0.45">
      <c r="A39" s="5"/>
      <c r="B39" s="105" t="str">
        <f>'Controls Assessment'!F35</f>
        <v>RC.RP-06-M1</v>
      </c>
      <c r="C39" s="94" t="str">
        <f>'Controls Assessment'!A35</f>
        <v>Recover</v>
      </c>
      <c r="D39" s="91" t="str">
        <f>'Controls Assessment'!G35</f>
        <v>After-Action Reporting</v>
      </c>
      <c r="E39" s="94" t="str">
        <f>'Controls Assessment'!O35</f>
        <v>Not Assessed</v>
      </c>
      <c r="F39" s="91" t="str">
        <f>'Controls Assessment'!R35</f>
        <v>Leadership and Ownership</v>
      </c>
      <c r="G39" s="97" t="str">
        <f>IF(OR('Controls Assessment'!O35="PARTIAL",'Controls Assessment'!O35="FAIL",'Controls Assessment'!O35="Not Assessed"),"SHOW","COMPLETE")</f>
        <v>SHOW</v>
      </c>
      <c r="H39" s="5"/>
    </row>
    <row r="40" spans="1:8" ht="20" customHeight="1" x14ac:dyDescent="0.45">
      <c r="A40" s="8"/>
      <c r="B40" s="104" t="str">
        <f>'Controls Assessment'!F36</f>
        <v>RC.RP-03-M1</v>
      </c>
      <c r="C40" s="95" t="str">
        <f>'Controls Assessment'!A36</f>
        <v>Recover</v>
      </c>
      <c r="D40" s="88" t="str">
        <f>'Controls Assessment'!G36</f>
        <v>Backup Integrity Verification</v>
      </c>
      <c r="E40" s="95" t="str">
        <f>'Controls Assessment'!O36</f>
        <v>Not Assessed</v>
      </c>
      <c r="F40" s="88" t="str">
        <f>'Controls Assessment'!R36</f>
        <v>IT Operations</v>
      </c>
      <c r="G40" s="96" t="str">
        <f>IF(OR('Controls Assessment'!O36="PARTIAL",'Controls Assessment'!O36="FAIL",'Controls Assessment'!O36="Not Assessed"),"SHOW","COMPLETE")</f>
        <v>SHOW</v>
      </c>
      <c r="H40" s="8"/>
    </row>
    <row r="41" spans="1:8" ht="20" customHeight="1" x14ac:dyDescent="0.45">
      <c r="A41" s="5"/>
      <c r="B41" s="105" t="str">
        <f>'Controls Assessment'!F37</f>
        <v>RC.RP-02-M1</v>
      </c>
      <c r="C41" s="94" t="str">
        <f>'Controls Assessment'!A37</f>
        <v>Recover</v>
      </c>
      <c r="D41" s="91" t="str">
        <f>'Controls Assessment'!G37</f>
        <v>Recovery Action Prioritisation</v>
      </c>
      <c r="E41" s="94" t="str">
        <f>'Controls Assessment'!O37</f>
        <v>Not Assessed</v>
      </c>
      <c r="F41" s="91" t="str">
        <f>'Controls Assessment'!R37</f>
        <v>IT Operations</v>
      </c>
      <c r="G41" s="97" t="str">
        <f>IF(OR('Controls Assessment'!O37="PARTIAL",'Controls Assessment'!O37="FAIL",'Controls Assessment'!O37="Not Assessed"),"SHOW","COMPLETE")</f>
        <v>SHOW</v>
      </c>
      <c r="H41" s="5"/>
    </row>
    <row r="42" spans="1:8" ht="20" customHeight="1" x14ac:dyDescent="0.45">
      <c r="A42" s="8"/>
      <c r="B42" s="104" t="str">
        <f>'Controls Assessment'!F38</f>
        <v>RC.CO-03-M1</v>
      </c>
      <c r="C42" s="95" t="str">
        <f>'Controls Assessment'!A38</f>
        <v>Recover</v>
      </c>
      <c r="D42" s="88" t="str">
        <f>'Controls Assessment'!G38</f>
        <v>Recovery Progress Communication</v>
      </c>
      <c r="E42" s="95" t="str">
        <f>'Controls Assessment'!O38</f>
        <v>Not Assessed</v>
      </c>
      <c r="F42" s="88" t="str">
        <f>'Controls Assessment'!R38</f>
        <v>Leadership and Ownership</v>
      </c>
      <c r="G42" s="96" t="str">
        <f>IF(OR('Controls Assessment'!O38="PARTIAL",'Controls Assessment'!O38="FAIL",'Controls Assessment'!O38="Not Assessed"),"SHOW","COMPLETE")</f>
        <v>SHOW</v>
      </c>
      <c r="H42" s="8"/>
    </row>
    <row r="43" spans="1:8" ht="20" customHeight="1" x14ac:dyDescent="0.45">
      <c r="A43" s="5"/>
      <c r="B43" s="105" t="str">
        <f>'Controls Assessment'!F39</f>
        <v>RC.RP-06-M2</v>
      </c>
      <c r="C43" s="94" t="str">
        <f>'Controls Assessment'!A39</f>
        <v>Recover</v>
      </c>
      <c r="D43" s="91" t="str">
        <f>'Controls Assessment'!G39</f>
        <v>Incident Closure and Resumption Declaration</v>
      </c>
      <c r="E43" s="94" t="str">
        <f>'Controls Assessment'!O39</f>
        <v>Not Assessed</v>
      </c>
      <c r="F43" s="91" t="str">
        <f>'Controls Assessment'!R39</f>
        <v>Leadership and Ownership</v>
      </c>
      <c r="G43" s="97" t="str">
        <f>IF(OR('Controls Assessment'!O39="PARTIAL",'Controls Assessment'!O39="FAIL",'Controls Assessment'!O39="Not Assessed"),"SHOW","COMPLETE")</f>
        <v>SHOW</v>
      </c>
      <c r="H43" s="5"/>
    </row>
    <row r="44" spans="1:8" ht="6" customHeight="1" x14ac:dyDescent="0.45">
      <c r="A44" s="1"/>
      <c r="B44" s="1"/>
      <c r="C44" s="1"/>
      <c r="D44" s="1"/>
      <c r="E44" s="1"/>
      <c r="F44" s="1"/>
      <c r="G44" s="1"/>
      <c r="H44" s="1"/>
    </row>
    <row r="45" spans="1:8" ht="20" customHeight="1" x14ac:dyDescent="0.45">
      <c r="A45" s="3"/>
      <c r="B45" s="129" t="s">
        <v>22</v>
      </c>
      <c r="C45" s="127"/>
      <c r="D45" s="127"/>
      <c r="E45" s="127"/>
      <c r="F45" s="127"/>
      <c r="G45" s="127"/>
      <c r="H45" s="3"/>
    </row>
  </sheetData>
  <mergeCells count="3">
    <mergeCell ref="B3:G3"/>
    <mergeCell ref="B2:G2"/>
    <mergeCell ref="B45:G45"/>
  </mergeCells>
  <conditionalFormatting sqref="E6:E43">
    <cfRule type="expression" dxfId="5" priority="1">
      <formula>$E6="PASS"</formula>
    </cfRule>
    <cfRule type="expression" dxfId="4" priority="2">
      <formula>$E6="PARTIAL"</formula>
    </cfRule>
    <cfRule type="expression" dxfId="3" priority="3">
      <formula>$E6="FAIL"</formula>
    </cfRule>
    <cfRule type="expression" dxfId="2" priority="4">
      <formula>$E6="Not Assessed"</formula>
    </cfRule>
  </conditionalFormatting>
  <conditionalFormatting sqref="G6:G43">
    <cfRule type="expression" dxfId="1" priority="5">
      <formula>$G6="COMPLETE"</formula>
    </cfRule>
    <cfRule type="expression" dxfId="0" priority="6">
      <formula>$G6="SHOW"</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 LICENSE - READ FIRST !!</vt:lpstr>
      <vt:lpstr>Cover</vt:lpstr>
      <vt:lpstr>Instructions</vt:lpstr>
      <vt:lpstr>Business and Technology Context</vt:lpstr>
      <vt:lpstr>Controls Assessment</vt:lpstr>
      <vt:lpstr>Dashboard</vt:lpstr>
      <vt:lpstr>Assessment Detail Capture</vt:lpstr>
      <vt:lpstr>Remediation Plan</vt:lpstr>
      <vt:lpstr>RAID Log</vt:lpstr>
      <vt:lpstr>Risk Register</vt:lpstr>
      <vt:lpstr>Stakeholder Register</vt:lpstr>
      <vt:lpstr>Remediation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CSF 2.0 Small Business Cyber Risk Workplan</dc:title>
  <dc:subject>CC BY-NC-SA 4.0 Licence Terms</dc:subject>
  <dc:creator>m</dc:creator>
  <cp:keywords>Cyber Native</cp:keywords>
  <cp:lastModifiedBy>Mohin Gulzar</cp:lastModifiedBy>
  <dcterms:created xsi:type="dcterms:W3CDTF">2026-05-22T00:39:12Z</dcterms:created>
  <dcterms:modified xsi:type="dcterms:W3CDTF">2026-08-10T11:33:12Z</dcterms:modified>
</cp:coreProperties>
</file>