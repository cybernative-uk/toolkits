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Documents\Personal\Freelancework\Cyber Native\Workplans\UK CE\Published\"/>
    </mc:Choice>
  </mc:AlternateContent>
  <xr:revisionPtr revIDLastSave="0" documentId="13_ncr:1_{F3D7F0A9-26BC-48E1-AB9D-EF034B9C083D}" xr6:coauthVersionLast="47" xr6:coauthVersionMax="47" xr10:uidLastSave="{00000000-0000-0000-0000-000000000000}"/>
  <bookViews>
    <workbookView xWindow="-98" yWindow="-98" windowWidth="21795" windowHeight="13875" tabRatio="868" activeTab="1" xr2:uid="{00000000-000D-0000-FFFF-FFFF00000000}"/>
  </bookViews>
  <sheets>
    <sheet name="!! LICENSE - READ FIRST !!" sheetId="9" r:id="rId1"/>
    <sheet name="Cover" sheetId="1" r:id="rId2"/>
    <sheet name="Instructions" sheetId="2" r:id="rId3"/>
    <sheet name="Scope and Org Context" sheetId="3" r:id="rId4"/>
    <sheet name="Controls Assessment" sheetId="4" r:id="rId5"/>
    <sheet name="Progress Dashboard" sheetId="5" r:id="rId6"/>
    <sheet name="Remediation Plan" sheetId="7" r:id="rId7"/>
    <sheet name="RAID Log" sheetId="6" r:id="rId8"/>
    <sheet name="Remediation Index" sheetId="8" r:id="rId9"/>
  </sheets>
  <definedNames>
    <definedName name="_xlnm._FilterDatabase" localSheetId="4" hidden="1">'Controls Assessment'!$A$3:$U$3</definedName>
    <definedName name="_xlnm._FilterDatabase" localSheetId="7" hidden="1">'RAID Log'!$A$2:$P$2</definedName>
    <definedName name="_xlnm._FilterDatabase" localSheetId="8" hidden="1">'Remediation Index'!$A$1:$F$1</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F2" i="7" l="1"/>
  <c r="F36" i="7" s="1"/>
  <c r="D33" i="8"/>
  <c r="C33" i="8"/>
  <c r="C36" i="7" s="1"/>
  <c r="B33" i="8"/>
  <c r="B36" i="7" s="1"/>
  <c r="A33" i="8"/>
  <c r="A36" i="7" s="1"/>
  <c r="E32" i="8"/>
  <c r="F32" i="8" s="1"/>
  <c r="D32" i="8"/>
  <c r="C32" i="8"/>
  <c r="C35" i="7" s="1"/>
  <c r="B32" i="8"/>
  <c r="B35" i="7" s="1"/>
  <c r="A32" i="8"/>
  <c r="A35" i="7" s="1"/>
  <c r="D31" i="8"/>
  <c r="C31" i="8"/>
  <c r="C34" i="7" s="1"/>
  <c r="B31" i="8"/>
  <c r="B34" i="7" s="1"/>
  <c r="A31" i="8"/>
  <c r="A34" i="7" s="1"/>
  <c r="D30" i="8"/>
  <c r="C30" i="8"/>
  <c r="C33" i="7" s="1"/>
  <c r="B30" i="8"/>
  <c r="B33" i="7" s="1"/>
  <c r="A30" i="8"/>
  <c r="A33" i="7" s="1"/>
  <c r="E29" i="8"/>
  <c r="F29" i="8" s="1"/>
  <c r="D29" i="8"/>
  <c r="C29" i="8"/>
  <c r="C32" i="7" s="1"/>
  <c r="B29" i="8"/>
  <c r="B32" i="7" s="1"/>
  <c r="A29" i="8"/>
  <c r="A32" i="7" s="1"/>
  <c r="D28" i="8"/>
  <c r="C28" i="8"/>
  <c r="C31" i="7" s="1"/>
  <c r="B28" i="8"/>
  <c r="B31" i="7" s="1"/>
  <c r="A28" i="8"/>
  <c r="A31" i="7" s="1"/>
  <c r="E27" i="8"/>
  <c r="F27" i="8" s="1"/>
  <c r="D27" i="8"/>
  <c r="C27" i="8"/>
  <c r="C30" i="7" s="1"/>
  <c r="B27" i="8"/>
  <c r="B30" i="7" s="1"/>
  <c r="A27" i="8"/>
  <c r="A30" i="7" s="1"/>
  <c r="D26" i="8"/>
  <c r="C26" i="8"/>
  <c r="C29" i="7" s="1"/>
  <c r="B26" i="8"/>
  <c r="B29" i="7" s="1"/>
  <c r="A26" i="8"/>
  <c r="A29" i="7" s="1"/>
  <c r="D25" i="8"/>
  <c r="C25" i="8"/>
  <c r="C28" i="7" s="1"/>
  <c r="B25" i="8"/>
  <c r="B28" i="7" s="1"/>
  <c r="A25" i="8"/>
  <c r="A28" i="7" s="1"/>
  <c r="D24" i="8"/>
  <c r="C24" i="8"/>
  <c r="C27" i="7" s="1"/>
  <c r="B24" i="8"/>
  <c r="B27" i="7" s="1"/>
  <c r="A24" i="8"/>
  <c r="A27" i="7" s="1"/>
  <c r="E23" i="8"/>
  <c r="F23" i="8" s="1"/>
  <c r="D23" i="8"/>
  <c r="C23" i="8"/>
  <c r="C26" i="7" s="1"/>
  <c r="B23" i="8"/>
  <c r="B26" i="7" s="1"/>
  <c r="A23" i="8"/>
  <c r="A26" i="7" s="1"/>
  <c r="D22" i="8"/>
  <c r="C22" i="8"/>
  <c r="C25" i="7" s="1"/>
  <c r="B22" i="8"/>
  <c r="B25" i="7" s="1"/>
  <c r="A22" i="8"/>
  <c r="A25" i="7" s="1"/>
  <c r="D21" i="8"/>
  <c r="C21" i="8"/>
  <c r="C24" i="7" s="1"/>
  <c r="B21" i="8"/>
  <c r="B24" i="7" s="1"/>
  <c r="A21" i="8"/>
  <c r="A24" i="7" s="1"/>
  <c r="E20" i="8"/>
  <c r="F20" i="8" s="1"/>
  <c r="D20" i="8"/>
  <c r="C20" i="8"/>
  <c r="C23" i="7" s="1"/>
  <c r="B20" i="8"/>
  <c r="B23" i="7" s="1"/>
  <c r="A20" i="8"/>
  <c r="A23" i="7" s="1"/>
  <c r="D19" i="8"/>
  <c r="C19" i="8"/>
  <c r="C22" i="7" s="1"/>
  <c r="B19" i="8"/>
  <c r="B22" i="7" s="1"/>
  <c r="A19" i="8"/>
  <c r="A22" i="7" s="1"/>
  <c r="D18" i="8"/>
  <c r="C18" i="8"/>
  <c r="C21" i="7" s="1"/>
  <c r="B18" i="8"/>
  <c r="B21" i="7" s="1"/>
  <c r="A18" i="8"/>
  <c r="A21" i="7" s="1"/>
  <c r="E17" i="8"/>
  <c r="F17" i="8" s="1"/>
  <c r="D17" i="8"/>
  <c r="C17" i="8"/>
  <c r="C20" i="7" s="1"/>
  <c r="B17" i="8"/>
  <c r="B20" i="7" s="1"/>
  <c r="A17" i="8"/>
  <c r="A20" i="7" s="1"/>
  <c r="D16" i="8"/>
  <c r="C16" i="8"/>
  <c r="C19" i="7" s="1"/>
  <c r="B16" i="8"/>
  <c r="B19" i="7" s="1"/>
  <c r="A16" i="8"/>
  <c r="A19" i="7" s="1"/>
  <c r="E15" i="8"/>
  <c r="F15" i="8" s="1"/>
  <c r="D15" i="8"/>
  <c r="C15" i="8"/>
  <c r="C18" i="7" s="1"/>
  <c r="B15" i="8"/>
  <c r="B18" i="7" s="1"/>
  <c r="A15" i="8"/>
  <c r="A18" i="7" s="1"/>
  <c r="D14" i="8"/>
  <c r="C14" i="8"/>
  <c r="C17" i="7" s="1"/>
  <c r="B14" i="8"/>
  <c r="B17" i="7" s="1"/>
  <c r="A14" i="8"/>
  <c r="A17" i="7" s="1"/>
  <c r="D13" i="8"/>
  <c r="C13" i="8"/>
  <c r="C16" i="7" s="1"/>
  <c r="B13" i="8"/>
  <c r="B16" i="7" s="1"/>
  <c r="A13" i="8"/>
  <c r="A16" i="7" s="1"/>
  <c r="E12" i="8"/>
  <c r="F12" i="8" s="1"/>
  <c r="D12" i="8"/>
  <c r="C12" i="8"/>
  <c r="C15" i="7" s="1"/>
  <c r="B12" i="8"/>
  <c r="B15" i="7" s="1"/>
  <c r="A12" i="8"/>
  <c r="A15" i="7" s="1"/>
  <c r="D11" i="8"/>
  <c r="C11" i="8"/>
  <c r="C14" i="7" s="1"/>
  <c r="B11" i="8"/>
  <c r="B14" i="7" s="1"/>
  <c r="A11" i="8"/>
  <c r="A14" i="7" s="1"/>
  <c r="D10" i="8"/>
  <c r="C10" i="8"/>
  <c r="C13" i="7" s="1"/>
  <c r="B10" i="8"/>
  <c r="B13" i="7" s="1"/>
  <c r="A10" i="8"/>
  <c r="A13" i="7" s="1"/>
  <c r="D9" i="8"/>
  <c r="C9" i="8"/>
  <c r="C12" i="7" s="1"/>
  <c r="B9" i="8"/>
  <c r="B12" i="7" s="1"/>
  <c r="A9" i="8"/>
  <c r="A12" i="7" s="1"/>
  <c r="D8" i="8"/>
  <c r="C8" i="8"/>
  <c r="C11" i="7" s="1"/>
  <c r="B8" i="8"/>
  <c r="B11" i="7" s="1"/>
  <c r="A8" i="8"/>
  <c r="A11" i="7" s="1"/>
  <c r="D7" i="8"/>
  <c r="C7" i="8"/>
  <c r="C10" i="7" s="1"/>
  <c r="B7" i="8"/>
  <c r="B10" i="7" s="1"/>
  <c r="A7" i="8"/>
  <c r="A10" i="7" s="1"/>
  <c r="D6" i="8"/>
  <c r="C6" i="8"/>
  <c r="C9" i="7" s="1"/>
  <c r="B6" i="8"/>
  <c r="B9" i="7" s="1"/>
  <c r="A6" i="8"/>
  <c r="A9" i="7" s="1"/>
  <c r="D5" i="8"/>
  <c r="C5" i="8"/>
  <c r="C8" i="7" s="1"/>
  <c r="B5" i="8"/>
  <c r="B8" i="7" s="1"/>
  <c r="A5" i="8"/>
  <c r="A8" i="7" s="1"/>
  <c r="D4" i="8"/>
  <c r="C4" i="8"/>
  <c r="C7" i="7" s="1"/>
  <c r="B4" i="8"/>
  <c r="B7" i="7" s="1"/>
  <c r="A4" i="8"/>
  <c r="A7" i="7" s="1"/>
  <c r="D3" i="8"/>
  <c r="C3" i="8"/>
  <c r="C6" i="7" s="1"/>
  <c r="B3" i="8"/>
  <c r="B6" i="7" s="1"/>
  <c r="A3" i="8"/>
  <c r="A6" i="7" s="1"/>
  <c r="D2" i="8"/>
  <c r="C2" i="8"/>
  <c r="C5" i="7" s="1"/>
  <c r="B2" i="8"/>
  <c r="B5" i="7" s="1"/>
  <c r="A2" i="8"/>
  <c r="A5" i="7" s="1"/>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B21" i="5"/>
  <c r="B18" i="5"/>
  <c r="B17" i="5"/>
  <c r="B16" i="5"/>
  <c r="N35" i="4"/>
  <c r="E65" i="5" s="1"/>
  <c r="L35" i="4"/>
  <c r="N34" i="4"/>
  <c r="E64" i="5" s="1"/>
  <c r="L34" i="4"/>
  <c r="L33" i="4"/>
  <c r="N33" i="4" s="1"/>
  <c r="E31" i="8" s="1"/>
  <c r="F31" i="8" s="1"/>
  <c r="N32" i="4"/>
  <c r="E62" i="5" s="1"/>
  <c r="L32" i="4"/>
  <c r="N31" i="4"/>
  <c r="E61" i="5" s="1"/>
  <c r="L31" i="4"/>
  <c r="N30" i="4"/>
  <c r="E60" i="5" s="1"/>
  <c r="L30" i="4"/>
  <c r="N29" i="4"/>
  <c r="E59" i="5" s="1"/>
  <c r="L29" i="4"/>
  <c r="N28" i="4"/>
  <c r="E58" i="5" s="1"/>
  <c r="L28" i="4"/>
  <c r="N27" i="4"/>
  <c r="E57" i="5" s="1"/>
  <c r="L27" i="4"/>
  <c r="N26" i="4"/>
  <c r="E56" i="5" s="1"/>
  <c r="L26" i="4"/>
  <c r="N25" i="4"/>
  <c r="E55" i="5" s="1"/>
  <c r="L25" i="4"/>
  <c r="N24" i="4"/>
  <c r="L24" i="4"/>
  <c r="N23" i="4"/>
  <c r="E21" i="8" s="1"/>
  <c r="F21" i="8" s="1"/>
  <c r="L23" i="4"/>
  <c r="N22" i="4"/>
  <c r="E52" i="5" s="1"/>
  <c r="L22" i="4"/>
  <c r="N21" i="4"/>
  <c r="E51" i="5" s="1"/>
  <c r="L21" i="4"/>
  <c r="N20" i="4"/>
  <c r="E50" i="5" s="1"/>
  <c r="L20" i="4"/>
  <c r="N19" i="4"/>
  <c r="L19" i="4"/>
  <c r="N18" i="4"/>
  <c r="E48" i="5" s="1"/>
  <c r="L18" i="4"/>
  <c r="N17" i="4"/>
  <c r="E47" i="5" s="1"/>
  <c r="L17" i="4"/>
  <c r="N16" i="4"/>
  <c r="E46" i="5" s="1"/>
  <c r="L16" i="4"/>
  <c r="N15" i="4"/>
  <c r="E45" i="5" s="1"/>
  <c r="L15" i="4"/>
  <c r="N14" i="4"/>
  <c r="E44" i="5" s="1"/>
  <c r="L14" i="4"/>
  <c r="N13" i="4"/>
  <c r="L13" i="4"/>
  <c r="N12" i="4"/>
  <c r="L12" i="4"/>
  <c r="N11" i="4"/>
  <c r="L11" i="4"/>
  <c r="N10" i="4"/>
  <c r="L10" i="4"/>
  <c r="N9" i="4"/>
  <c r="L9" i="4"/>
  <c r="N8" i="4"/>
  <c r="L8" i="4"/>
  <c r="N7" i="4"/>
  <c r="L7" i="4"/>
  <c r="N6" i="4"/>
  <c r="L6" i="4"/>
  <c r="N5" i="4"/>
  <c r="L5" i="4"/>
  <c r="N4" i="4"/>
  <c r="L4" i="4"/>
  <c r="E28" i="8" l="1"/>
  <c r="F28" i="8" s="1"/>
  <c r="E33" i="8"/>
  <c r="F33" i="8" s="1"/>
  <c r="E16" i="8"/>
  <c r="F16" i="8" s="1"/>
  <c r="E25" i="8"/>
  <c r="F25" i="8" s="1"/>
  <c r="E26" i="8"/>
  <c r="F26" i="8" s="1"/>
  <c r="E13" i="8"/>
  <c r="F13" i="8" s="1"/>
  <c r="E14" i="8"/>
  <c r="F14" i="8" s="1"/>
  <c r="E30" i="8"/>
  <c r="F30" i="8" s="1"/>
  <c r="E18" i="8"/>
  <c r="F18" i="8" s="1"/>
  <c r="E19" i="8"/>
  <c r="F19" i="8" s="1"/>
  <c r="E24" i="8"/>
  <c r="F24" i="8" s="1"/>
  <c r="F34" i="7"/>
  <c r="E15" i="7"/>
  <c r="E12" i="7"/>
  <c r="E13" i="7"/>
  <c r="F14" i="7"/>
  <c r="E14" i="7"/>
  <c r="F13" i="7"/>
  <c r="E16" i="7"/>
  <c r="F12" i="7"/>
  <c r="E17" i="7"/>
  <c r="F11" i="7"/>
  <c r="E36" i="7"/>
  <c r="G36" i="7" s="1"/>
  <c r="F35" i="7"/>
  <c r="E35" i="7"/>
  <c r="E34" i="7"/>
  <c r="F33" i="7"/>
  <c r="E33" i="7"/>
  <c r="F32" i="7"/>
  <c r="E32" i="7"/>
  <c r="F31" i="7"/>
  <c r="E31" i="7"/>
  <c r="F30" i="7"/>
  <c r="E30" i="7"/>
  <c r="F29" i="7"/>
  <c r="E29" i="7"/>
  <c r="F28" i="7"/>
  <c r="E11" i="7"/>
  <c r="F27" i="7"/>
  <c r="E27" i="7"/>
  <c r="F10" i="7"/>
  <c r="E10" i="7"/>
  <c r="G10" i="7" s="1"/>
  <c r="F9" i="7"/>
  <c r="F8" i="7"/>
  <c r="E8" i="7"/>
  <c r="G8" i="7" s="1"/>
  <c r="E28" i="7"/>
  <c r="F17" i="7"/>
  <c r="E18" i="7"/>
  <c r="F18" i="7"/>
  <c r="F19" i="7"/>
  <c r="F26" i="7"/>
  <c r="E26" i="7"/>
  <c r="F25" i="7"/>
  <c r="E25" i="7"/>
  <c r="G25" i="7" s="1"/>
  <c r="F24" i="7"/>
  <c r="E24" i="7"/>
  <c r="F23" i="7"/>
  <c r="E23" i="7"/>
  <c r="E5" i="7"/>
  <c r="F5" i="7"/>
  <c r="F22" i="7"/>
  <c r="E22" i="7"/>
  <c r="E6" i="7"/>
  <c r="F21" i="7"/>
  <c r="E21" i="7"/>
  <c r="F6" i="7"/>
  <c r="F20" i="7"/>
  <c r="E20" i="7"/>
  <c r="E7" i="7"/>
  <c r="E19" i="7"/>
  <c r="F7" i="7"/>
  <c r="F16" i="7"/>
  <c r="E9" i="7"/>
  <c r="F15" i="7"/>
  <c r="C13" i="5"/>
  <c r="E13" i="5"/>
  <c r="D13" i="5"/>
  <c r="F13" i="5"/>
  <c r="E63" i="5"/>
  <c r="E54" i="5"/>
  <c r="E22" i="8"/>
  <c r="F22" i="8" s="1"/>
  <c r="E53" i="5"/>
  <c r="F12" i="5"/>
  <c r="D12" i="5"/>
  <c r="E12" i="5"/>
  <c r="C12" i="5"/>
  <c r="E49" i="5"/>
  <c r="C11" i="5"/>
  <c r="E11" i="5"/>
  <c r="D11" i="5"/>
  <c r="F11" i="5"/>
  <c r="E43" i="5"/>
  <c r="E11" i="8"/>
  <c r="F11" i="8" s="1"/>
  <c r="E10" i="8"/>
  <c r="F10" i="8" s="1"/>
  <c r="E42" i="5"/>
  <c r="D10" i="5"/>
  <c r="E41" i="5"/>
  <c r="E9" i="8"/>
  <c r="F9" i="8" s="1"/>
  <c r="F10" i="5"/>
  <c r="E10" i="5"/>
  <c r="C10" i="5"/>
  <c r="E8" i="8"/>
  <c r="F8" i="8" s="1"/>
  <c r="E40" i="5"/>
  <c r="E7" i="8"/>
  <c r="F7" i="8" s="1"/>
  <c r="E39" i="5"/>
  <c r="E6" i="8"/>
  <c r="F6" i="8" s="1"/>
  <c r="E38" i="5"/>
  <c r="E5" i="8"/>
  <c r="F5" i="8" s="1"/>
  <c r="E37" i="5"/>
  <c r="E4" i="8"/>
  <c r="F4" i="8" s="1"/>
  <c r="E36" i="5"/>
  <c r="E35" i="5"/>
  <c r="E3" i="8"/>
  <c r="F3" i="8" s="1"/>
  <c r="E34" i="5"/>
  <c r="D4" i="5"/>
  <c r="F4" i="5"/>
  <c r="D5" i="5"/>
  <c r="E5" i="5"/>
  <c r="D9" i="5"/>
  <c r="E9" i="5"/>
  <c r="C9" i="5"/>
  <c r="B5" i="5"/>
  <c r="F9" i="5"/>
  <c r="E2" i="8"/>
  <c r="F2" i="8" s="1"/>
  <c r="G23" i="7" l="1"/>
  <c r="G30" i="7"/>
  <c r="G20" i="7"/>
  <c r="G24" i="7"/>
  <c r="G21" i="7"/>
  <c r="G14" i="7"/>
  <c r="G26" i="7"/>
  <c r="G27" i="7"/>
  <c r="G19" i="7"/>
  <c r="G22" i="7"/>
  <c r="G35" i="7"/>
  <c r="G29" i="7"/>
  <c r="G34" i="7"/>
  <c r="G33" i="7"/>
  <c r="G17" i="7"/>
  <c r="G16" i="7"/>
  <c r="G31" i="7"/>
  <c r="G28" i="7"/>
  <c r="G18" i="7"/>
  <c r="G32" i="7"/>
  <c r="G11" i="7"/>
  <c r="G9" i="7"/>
  <c r="G5" i="7"/>
  <c r="G6" i="7"/>
  <c r="G7" i="7"/>
  <c r="G15" i="7"/>
  <c r="G12" i="7"/>
  <c r="G13" i="7"/>
</calcChain>
</file>

<file path=xl/sharedStrings.xml><?xml version="1.0" encoding="utf-8"?>
<sst xmlns="http://schemas.openxmlformats.org/spreadsheetml/2006/main" count="760" uniqueCount="503">
  <si>
    <t>Cyber Essentials Assessment Workplan</t>
  </si>
  <si>
    <t>Document Details</t>
  </si>
  <si>
    <t>Organisation Name</t>
  </si>
  <si>
    <t>[To be completed]</t>
  </si>
  <si>
    <t>Lead Assessor</t>
  </si>
  <si>
    <t>Assessment Date</t>
  </si>
  <si>
    <t>Assessment Completion Date (actual or target)</t>
  </si>
  <si>
    <t>Board Signatory</t>
  </si>
  <si>
    <t>Document Reference</t>
  </si>
  <si>
    <t>Document Version</t>
  </si>
  <si>
    <t>Classification</t>
  </si>
  <si>
    <t>Confidential</t>
  </si>
  <si>
    <t>Date Issued</t>
  </si>
  <si>
    <t>Status</t>
  </si>
  <si>
    <t>Methodology Note</t>
  </si>
  <si>
    <t>This workplan maps all requirements from Cyber Essentials: Requirements for IT Infrastructure v3.3 (National Cyber Security Centre, April 2026) as discrete, individually assessed items. All 32 requirement items are assessed on a binary pass or fail basis. All items within a Domain must pass for the Domain Aim to be met. All five Domain Aims must be met for the organisation to be eligible to submit for Cyber Essentials certification. Assessment questions in this workplan are authored by Cyber Native. Requirement text in Column F of the Controls Assessment is reproduced verbatim from CE v3.3 under the Open Government Licence v3.0.</t>
  </si>
  <si>
    <t>Cyber Essentials Assessment Workplan - Instructions</t>
  </si>
  <si>
    <t>Purpose</t>
  </si>
  <si>
    <t>How to Use the Controls Assessment</t>
  </si>
  <si>
    <t>Each row represents one discrete requirement item drawn verbatim from CE v3.3. Complete Column J (Assessed Value) using the dropdown provided. Record evidence in Column O. Record the responsible contact in Column R. Column N calculates Pass or Fail automatically. All items must pass for CE certification eligibility.</t>
  </si>
  <si>
    <t>Binary Items (Column J: YES / NO / N/A)</t>
  </si>
  <si>
    <t>Select YES if the requirement is fully met and evidenced. Select NO if the requirement is not met - this generates a FAIL and will populate the Remediation Plan. Select N/A only where the requirement genuinely does not apply to the organisation's specific context. Record the justification for any N/A selection in Column S (Assessor Notes).</t>
  </si>
  <si>
    <t>At-least-one-of Items (multiple options in Column J)</t>
  </si>
  <si>
    <t>Several requirements permit compliance via any one of a defined set of options. For these items, select the option that is implemented from the dropdown. Selecting any valid option generates a PASS. Select None - not implemented to record a FAIL. Record the detail of implementation in Column S (Assessor Notes).</t>
  </si>
  <si>
    <t>Conditional Items (MP-02 and MP-03)</t>
  </si>
  <si>
    <t>MP-02 (Anti-malware Configuration) applies only where Option A: Anti-malware software is selected for MP-01. MP-03 (Application Allow Listing Configuration) applies only where Option B: Application allow listing is selected for MP-01. The non-applicable row will dim automatically based on the MP-01 selection. Select the Not applicable option in Column J for the non-applicable item.</t>
  </si>
  <si>
    <t>Controls Assessment Column Reference</t>
  </si>
  <si>
    <t>Column</t>
  </si>
  <si>
    <t>Reference</t>
  </si>
  <si>
    <t>Field Description and Purpose</t>
  </si>
  <si>
    <t>A</t>
  </si>
  <si>
    <t>Domain</t>
  </si>
  <si>
    <t>Filter anchor. Groups items by the five CE technical control domains. Use the AutoFilter to filter by domain.</t>
  </si>
  <si>
    <t>B</t>
  </si>
  <si>
    <t>Requirement ID</t>
  </si>
  <si>
    <t>Abbreviated domain code: FW, SC, SUM, UAC, PW, or MP.</t>
  </si>
  <si>
    <t>C</t>
  </si>
  <si>
    <t>Requirement Title</t>
  </si>
  <si>
    <t>Short descriptive title for each requirement item.</t>
  </si>
  <si>
    <t>D</t>
  </si>
  <si>
    <t>Applies To</t>
  </si>
  <si>
    <t>Device and service types to which this requirement applies, as stated in CE v3.3.</t>
  </si>
  <si>
    <t>E</t>
  </si>
  <si>
    <t>Item Reference</t>
  </si>
  <si>
    <t>Unique reference for each requirement item, e.g., FW-01.</t>
  </si>
  <si>
    <t>F</t>
  </si>
  <si>
    <t>Requirement Item</t>
  </si>
  <si>
    <t>Verbatim requirement text from CE v3.3. Crown Copyright. Do not edit.</t>
  </si>
  <si>
    <t>G</t>
  </si>
  <si>
    <t>Assessment Question</t>
  </si>
  <si>
    <t>Plain-language question authored by Cyber Native to guide the assessor.</t>
  </si>
  <si>
    <t>H</t>
  </si>
  <si>
    <t>I</t>
  </si>
  <si>
    <t>Pass Condition</t>
  </si>
  <si>
    <t>Explicit condition that must be met for this item to pass.</t>
  </si>
  <si>
    <t>J</t>
  </si>
  <si>
    <t>Assessed Value</t>
  </si>
  <si>
    <t>Assessor input. Select from the dropdown. This is the only column requiring assessor input for scoring.</t>
  </si>
  <si>
    <t>K</t>
  </si>
  <si>
    <t>Denominator</t>
  </si>
  <si>
    <t>Fixed value of 1. Binary assessment denominator. Do not edit.</t>
  </si>
  <si>
    <t>L</t>
  </si>
  <si>
    <t>Calculated Score</t>
  </si>
  <si>
    <t>Auto-calculated. Returns 1 (pass), 0 (fail), N/A, or blank (not assessed). Do not edit.</t>
  </si>
  <si>
    <t>M</t>
  </si>
  <si>
    <t>Pass Threshold</t>
  </si>
  <si>
    <t>Fixed value of 1. Do not edit.</t>
  </si>
  <si>
    <t>N</t>
  </si>
  <si>
    <t>Pass / Fail</t>
  </si>
  <si>
    <t>Auto-calculated pass or fail status with conditional formatting. Do not edit.</t>
  </si>
  <si>
    <t>O</t>
  </si>
  <si>
    <t>Evidence Collected</t>
  </si>
  <si>
    <t>Assessor input. Record specific documents, system names, dates, and observations.</t>
  </si>
  <si>
    <t>P</t>
  </si>
  <si>
    <t>Suggested Evidence Artefacts</t>
  </si>
  <si>
    <t>Pre-populated guidance on evidence types. Adapt to the organisation's tooling.</t>
  </si>
  <si>
    <t>Q</t>
  </si>
  <si>
    <t>Responsible Function or Team</t>
  </si>
  <si>
    <t>Pre-populated with the most likely responsible enterprise function.</t>
  </si>
  <si>
    <t>R</t>
  </si>
  <si>
    <t>Key Contact Name</t>
  </si>
  <si>
    <t>Assessor input. Name and role of the individual who provided evidence.</t>
  </si>
  <si>
    <t>S</t>
  </si>
  <si>
    <t>Assessor Notes</t>
  </si>
  <si>
    <t>Assessor input. Caveats, exceptions, N/A justifications, or additional context.</t>
  </si>
  <si>
    <t>T</t>
  </si>
  <si>
    <t>Assessor input. Date evidence was reviewed and item assessed.</t>
  </si>
  <si>
    <t>U</t>
  </si>
  <si>
    <t>Reviewed By</t>
  </si>
  <si>
    <t>Assessor input. Name of the reviewer who validated the assessment.</t>
  </si>
  <si>
    <t>Scope and Organisational Context</t>
  </si>
  <si>
    <t>Complete this sheet before commencing the Controls Assessment. Scope decisions recorded here determine which requirement items apply and provide the context for the IASME self-assessment submission.</t>
  </si>
  <si>
    <t>Is this assessment for the whole organisation or a partial scope?</t>
  </si>
  <si>
    <t>If partial, describe the scope boundary in full</t>
  </si>
  <si>
    <t>Are any networks excluded from scope? If so, describe the sub-set isolation method (firewall or VLAN required)</t>
  </si>
  <si>
    <t>List all in-scope networks with name, location and purpose</t>
  </si>
  <si>
    <t>Do all in-scope sites have an internet connection?</t>
  </si>
  <si>
    <t>If sites are interconnected without direct internet, describe the connection method</t>
  </si>
  <si>
    <t>Total number of laptops and desktop computers in scope (include make and operating system summary)</t>
  </si>
  <si>
    <t>Total number of servers and virtual servers in scope (include make and operating system)</t>
  </si>
  <si>
    <t>Total number of tablets in scope (include make and operating system)</t>
  </si>
  <si>
    <t>Total number of mobile phones in scope (include make and operating system)</t>
  </si>
  <si>
    <t>Total number of thin clients in scope</t>
  </si>
  <si>
    <t>Network firewalls and routers in scope (include make, model and quantity)</t>
  </si>
  <si>
    <t>List all cloud services (IaaS, PaaS, SaaS) in scope including service name and provider</t>
  </si>
  <si>
    <t>Are there cloud services that access organisational data which are not listed above? If so, list them</t>
  </si>
  <si>
    <t>Are social media accounts used for business purposes in scope?</t>
  </si>
  <si>
    <t>Number of home or remote workers (any person with permission to work remotely at the time of assessment)</t>
  </si>
  <si>
    <t>How do remote workers connect to organisational data and services (e.g. home router, corporate VPN)?</t>
  </si>
  <si>
    <t>Are BYOD (personally owned) devices used to access organisational data or services?</t>
  </si>
  <si>
    <t>If BYOD is in scope, describe the BYOD management approach</t>
  </si>
  <si>
    <t>Are third-party accounts used to access organisational systems (e.g. IT support providers)?</t>
  </si>
  <si>
    <t>If yes, describe how third-party account access is managed and controlled</t>
  </si>
  <si>
    <t>Is any infrastructure managed by a third party on behalf of the organisation?</t>
  </si>
  <si>
    <t>If yes, describe what is managed and how CE controls are applied to that infrastructure</t>
  </si>
  <si>
    <t>Does the organisation develop software in scope?</t>
  </si>
  <si>
    <t>If yes, are development, testing, and penetration testing networks segregated from production by firewall or VLAN?</t>
  </si>
  <si>
    <t>Req ID</t>
  </si>
  <si>
    <t>Item Ref</t>
  </si>
  <si>
    <t>Requirement Item (CE v3.3 verbatim)</t>
  </si>
  <si>
    <t>Denom.</t>
  </si>
  <si>
    <t>Score</t>
  </si>
  <si>
    <t>Threshold</t>
  </si>
  <si>
    <t>Responsible Function</t>
  </si>
  <si>
    <t>Key Contact</t>
  </si>
  <si>
    <t>1. Firewalls</t>
  </si>
  <si>
    <t>FW</t>
  </si>
  <si>
    <t>Firewall Coverage</t>
  </si>
  <si>
    <t>Boundary firewalls, desktop computers, laptops, routers, servers, IaaS, PaaS, SaaS</t>
  </si>
  <si>
    <t>FW-01</t>
  </si>
  <si>
    <t>Protect every device in scope with a correctly configured firewall (or network device with firewall functionality).</t>
  </si>
  <si>
    <t>Is every in-scope device protected by a correctly configured firewall or network device with equivalent functionality?</t>
  </si>
  <si>
    <t>Network topology diagram; device inventory with firewall coverage mapped; firewall configuration records</t>
  </si>
  <si>
    <t>All in-scope devices are covered by a correctly configured firewall. Answer YES to pass.</t>
  </si>
  <si>
    <t>Network diagram; firewall configuration exports; device inventory with coverage mapping</t>
  </si>
  <si>
    <t>IT / Network Operations</t>
  </si>
  <si>
    <t>Software Firewall on Untrusted Networks</t>
  </si>
  <si>
    <t>Desktop computers, laptops, servers</t>
  </si>
  <si>
    <t>FW-02</t>
  </si>
  <si>
    <t>Make sure you use a software firewall on devices which are used on untrusted networks, such as public Wi-Fi hotspots.</t>
  </si>
  <si>
    <t>Are software firewalls enabled on all devices that connect to untrusted networks such as public Wi-Fi?</t>
  </si>
  <si>
    <t>Software firewall policy; device configuration records; MDM policy screenshots</t>
  </si>
  <si>
    <t>Software firewall enabled on all devices used on untrusted networks. Answer YES to pass.</t>
  </si>
  <si>
    <t>MDM policy; device configuration screenshots; firewall status records</t>
  </si>
  <si>
    <t>IT / Endpoint Management</t>
  </si>
  <si>
    <t>Default Administrative Password Change</t>
  </si>
  <si>
    <t>Boundary firewalls, routers</t>
  </si>
  <si>
    <t>FW-03</t>
  </si>
  <si>
    <t>Change default administrative passwords to a strong and unique password (see password-based authentication) or disable remote administrative access entirely.</t>
  </si>
  <si>
    <t>Have all default administrative passwords on boundary firewalls and routers been changed, or has remote administrative access been disabled?</t>
  </si>
  <si>
    <t>Password change records; firewall configuration confirming no default credentials; or documentation of disabled remote admin access</t>
  </si>
  <si>
    <t>All default administrative passwords changed to strong unique passwords, or remote admin access disabled. Answer YES to pass.</t>
  </si>
  <si>
    <t>Change management records; firewall configuration export; IT policy documentation</t>
  </si>
  <si>
    <t>Administrative Interface Access Control</t>
  </si>
  <si>
    <t>FW-04</t>
  </si>
  <si>
    <t>Prevent access to the administrative interface (used to manage firewall configuration) from the internet, unless there is a clear and documented business need, and the interface is protected by one of the following controls: multi-factor authentication; or an IP allow list that limits access to a small range of trusted addresses combined with a properly managed password authentication approach.</t>
  </si>
  <si>
    <t>Is the firewall administrative interface blocked from internet access, or where internet access is required, is it protected by MFA or an IP allow list with managed password authentication?</t>
  </si>
  <si>
    <t>Firewall configuration records; business case documentation if internet access is permitted; MFA or IP allow list configuration evidence</t>
  </si>
  <si>
    <t>Admin interface blocked from internet, or if permitted, protected by MFA or IP allow list. Select applicable option.</t>
  </si>
  <si>
    <t>Firewall configuration export; MFA configuration; IP allow list documentation; business case approval</t>
  </si>
  <si>
    <t>Block Unauthenticated Inbound Connections</t>
  </si>
  <si>
    <t>Boundary firewalls</t>
  </si>
  <si>
    <t>FW-05</t>
  </si>
  <si>
    <t>Block unauthenticated inbound connections by default.</t>
  </si>
  <si>
    <t>Is the firewall configured to block all unauthenticated inbound connections by default?</t>
  </si>
  <si>
    <t>Firewall rule set confirming default deny for inbound unauthenticated connections; configuration export</t>
  </si>
  <si>
    <t>Firewall blocks unauthenticated inbound connections by default. Answer YES to pass.</t>
  </si>
  <si>
    <t>Firewall rule set export; configuration screenshot; security scan confirming default deny</t>
  </si>
  <si>
    <t>Inbound Rule Approval and Documentation</t>
  </si>
  <si>
    <t>FW-06</t>
  </si>
  <si>
    <t>Ensure inbound firewall rules are approved and documented by an authorised person, and include the business need in the documentation.</t>
  </si>
  <si>
    <t>Are all inbound firewall rules approved and documented by an authorised person with the business need recorded?</t>
  </si>
  <si>
    <t>Firewall rule register or change log; approval records for each inbound rule with business justification</t>
  </si>
  <si>
    <t>All inbound firewall rules are approved and documented with business need. Answer YES to pass.</t>
  </si>
  <si>
    <t>Firewall rule register; change management records; approval records for each inbound rule</t>
  </si>
  <si>
    <t>Removal of Unnecessary Firewall Rules</t>
  </si>
  <si>
    <t>FW-07</t>
  </si>
  <si>
    <t>Remove or disable unnecessary firewall rules, when they are no longer needed.</t>
  </si>
  <si>
    <t>Is there an operational process to remove or disable firewall rules when they are no longer needed, and is it being followed?</t>
  </si>
  <si>
    <t>Firewall review records; process documentation for rule removal; evidence of periodic rule audits</t>
  </si>
  <si>
    <t>Unnecessary firewall rules are removed or disabled. A review process is evidenced. Answer YES to pass.</t>
  </si>
  <si>
    <t>Firewall review log; rule removal records; process documentation</t>
  </si>
  <si>
    <t>2. Secure Configuration</t>
  </si>
  <si>
    <t>SC</t>
  </si>
  <si>
    <t>Removal of Unnecessary User Accounts</t>
  </si>
  <si>
    <t>Servers, desktop computers, laptops, tablets, mobile phones, thin clients, IaaS, PaaS, SaaS</t>
  </si>
  <si>
    <t>SC-01</t>
  </si>
  <si>
    <t>Remove and disable unnecessary user accounts (such as guest accounts and administrative accounts that will not be used).</t>
  </si>
  <si>
    <t>Have all unnecessary user accounts including guest accounts and unused administrative accounts been removed or disabled?</t>
  </si>
  <si>
    <t>User account inventory; evidence of account review and removal; identity management records</t>
  </si>
  <si>
    <t>Unnecessary user accounts removed or disabled across all in-scope systems. Answer YES to pass.</t>
  </si>
  <si>
    <t>User account inventory; identity management exports; Active Directory or cloud directory records</t>
  </si>
  <si>
    <t>IT / Identity and Access Management</t>
  </si>
  <si>
    <t>Default and Guessable Password Changes</t>
  </si>
  <si>
    <t>SC-02</t>
  </si>
  <si>
    <t>Change any default or guessable account passwords.</t>
  </si>
  <si>
    <t>Have all default or guessable account passwords been changed on all in-scope devices and services?</t>
  </si>
  <si>
    <t>Password policy; evidence that default credentials are changed at deployment; configuration records</t>
  </si>
  <si>
    <t>All default or guessable passwords changed on all in-scope devices and services. Answer YES to pass.</t>
  </si>
  <si>
    <t>Password policy; configuration records; deployment checklist; vulnerability scan results</t>
  </si>
  <si>
    <t>Removal of Unnecessary Software</t>
  </si>
  <si>
    <t>SC-03</t>
  </si>
  <si>
    <t>Remove or disable unnecessary software (including applications, system utilities and network services).</t>
  </si>
  <si>
    <t>Has unnecessary software including applications, system utilities and network services been removed or disabled?</t>
  </si>
  <si>
    <t>Software inventory; evidence of software review and removal; endpoint management records</t>
  </si>
  <si>
    <t>Unnecessary software removed or disabled across all in-scope devices. Answer YES to pass.</t>
  </si>
  <si>
    <t>Software inventory; MDM policy; application removal records; device build standards</t>
  </si>
  <si>
    <t>Auto-run Disabled</t>
  </si>
  <si>
    <t>Servers, desktop computers, laptops</t>
  </si>
  <si>
    <t>SC-04</t>
  </si>
  <si>
    <t>Disable any auto-run feature which allows file execution without user authorisation (such as when they are downloaded).</t>
  </si>
  <si>
    <t>Is the auto-run feature disabled on all in-scope devices to prevent automatic file execution?</t>
  </si>
  <si>
    <t>Group Policy or MDM configuration records; device configuration screenshots confirming auto-run is disabled</t>
  </si>
  <si>
    <t>Auto-run disabled on all in-scope devices. Answer YES to pass.</t>
  </si>
  <si>
    <t>Group Policy export; MDM policy records; device configuration screenshots</t>
  </si>
  <si>
    <t>Authentication Before Data Access</t>
  </si>
  <si>
    <t>SC-05</t>
  </si>
  <si>
    <t>Ensure users are authenticated before allowing them access to organisational data or services.</t>
  </si>
  <si>
    <t>Are all users required to authenticate before being granted access to organisational data or services?</t>
  </si>
  <si>
    <t>Authentication configuration records; identity management policy; evidence that no unauthenticated access is permitted</t>
  </si>
  <si>
    <t>All users authenticate before accessing organisational data or services. Answer YES to pass.</t>
  </si>
  <si>
    <t>Identity management records; authentication configuration; access control policy</t>
  </si>
  <si>
    <t>Device Locking Controls</t>
  </si>
  <si>
    <t>Servers, desktop computers, laptops, tablets, mobile phones, thin clients</t>
  </si>
  <si>
    <t>SC-06</t>
  </si>
  <si>
    <t>Ensure appropriate device locking controls for users that are physically present.</t>
  </si>
  <si>
    <t>Are appropriate device locking controls in place on all in-scope devices?</t>
  </si>
  <si>
    <t>MDM policy or device configuration records showing screen lock and timeout settings</t>
  </si>
  <si>
    <t>Appropriate device locking controls in place on all in-scope devices. Answer YES to pass.</t>
  </si>
  <si>
    <t>MDM policy records; device configuration screenshots; screen lock timeout settings</t>
  </si>
  <si>
    <t>Brute-force Protection for Device Unlock</t>
  </si>
  <si>
    <t>Desktop computers, laptops, tablets, mobile phones</t>
  </si>
  <si>
    <t>SC-07</t>
  </si>
  <si>
    <t>Protect your chosen authentication method against brute-force attacks. When it is possible to configure, apply one of the following: throttling the rate of attempts so that no more than 10 guesses are permitted in 5 minutes; or locking devices after no more than 10 unsuccessful attempts. When the vendor does not allow you to configure the above, use the vendor default setting.</t>
  </si>
  <si>
    <t>Is device unlock protected against brute-force attacks through throttling, lockout, or vendor default where configuration is not possible?</t>
  </si>
  <si>
    <t>MDM policy or device configuration records showing throttling or lockout settings; vendor documentation where vendor default applied</t>
  </si>
  <si>
    <t>Brute-force protection applied to device unlock. Select the option implemented.</t>
  </si>
  <si>
    <t>MDM policy records; device configuration screenshots; vendor documentation</t>
  </si>
  <si>
    <t>Minimum Credential Length for Device Unlock</t>
  </si>
  <si>
    <t>SC-08</t>
  </si>
  <si>
    <t>Use a minimum password or PIN length of at least 6 characters where credentials are used only to unlock a device. When the device unlocking credentials are also used for authentication, apply the full password requirements described in User Access Controls.</t>
  </si>
  <si>
    <t>Is a minimum credential length of at least 6 characters enforced for credentials used solely to unlock a device?</t>
  </si>
  <si>
    <t>MDM policy or device configuration records showing minimum PIN or password length</t>
  </si>
  <si>
    <t>Minimum 6-character credential length enforced for device-unlock-only credentials. Answer YES to pass.</t>
  </si>
  <si>
    <t>MDM policy records; device configuration screenshots; device build standards</t>
  </si>
  <si>
    <t>3. Security Update Management</t>
  </si>
  <si>
    <t>SUM</t>
  </si>
  <si>
    <t>Licensed and Supported Software</t>
  </si>
  <si>
    <t>Servers, desktop computers, laptops, tablets, mobile phones, firewalls, routers, IaaS, PaaS, SaaS</t>
  </si>
  <si>
    <t>SUM-01</t>
  </si>
  <si>
    <t>All software on in-scope devices must be licensed and supported.</t>
  </si>
  <si>
    <t>Is all software on in-scope devices licensed and supported by the vendor?</t>
  </si>
  <si>
    <t>Software inventory with licence and support status; vendor support lifecycle records</t>
  </si>
  <si>
    <t>All in-scope software is licensed and vendor-supported. Answer YES to pass.</t>
  </si>
  <si>
    <t>Software inventory; licence records; vendor support lifecycle documentation</t>
  </si>
  <si>
    <t>IT / Asset Management</t>
  </si>
  <si>
    <t>Removal of Unsupported Software</t>
  </si>
  <si>
    <t>SUM-02</t>
  </si>
  <si>
    <t>All software on in-scope devices must be removed from devices when it becomes unsupported, or removed from scope by using a defined sub-set that prevents all traffic to or from the internet.</t>
  </si>
  <si>
    <t>Is unsupported software removed from in-scope devices, or isolated by a defined sub-set that prevents all internet traffic?</t>
  </si>
  <si>
    <t>Evidence of unsupported software removal or isolation; network segmentation documentation</t>
  </si>
  <si>
    <t>Unsupported software removed or device fully isolated from internet by defined sub-set. Answer YES to pass.</t>
  </si>
  <si>
    <t>Software removal records; network segmentation documentation; firewall or VLAN configuration</t>
  </si>
  <si>
    <t>Automatic Updates Enabled</t>
  </si>
  <si>
    <t>SUM-03</t>
  </si>
  <si>
    <t>All software on in-scope devices must have automatic updates enabled where possible.</t>
  </si>
  <si>
    <t>Are automatic updates enabled on all in-scope devices and software where the option is available?</t>
  </si>
  <si>
    <t>MDM or endpoint management policy confirming automatic updates; device configuration records</t>
  </si>
  <si>
    <t>Automatic updates enabled wherever possible. Answer YES to pass.</t>
  </si>
  <si>
    <t>MDM policy; Windows Update or equivalent configuration; patch management reports</t>
  </si>
  <si>
    <t>IT / Patch Management</t>
  </si>
  <si>
    <t>Critical Updates Applied Within 14 Days</t>
  </si>
  <si>
    <t>SUM-04</t>
  </si>
  <si>
    <t>All software on in-scope devices must be updated, including vulnerability fixes, within 14 days of release, where the update fixes vulnerabilities described by the vendor as critical or high risk; or the update addresses vulnerabilities with a CVSS v3 base score of 7 or above; or there are no details of the level of vulnerabilities that the update fixes provided by the vendor.</t>
  </si>
  <si>
    <t>Are all critical and high-risk vulnerability updates applied to in-scope devices within 14 days of release?</t>
  </si>
  <si>
    <t>Patch management reports showing update deployment dates; vulnerability scan results; evidence of 14-day compliance</t>
  </si>
  <si>
    <t>Critical and high-risk updates applied within 14 days. Evidence of compliance for recent updates. Answer YES to pass.</t>
  </si>
  <si>
    <t>Patch management reports; vulnerability scan results; deployment records from patch management tooling</t>
  </si>
  <si>
    <t>4. User Access Control</t>
  </si>
  <si>
    <t>UAC</t>
  </si>
  <si>
    <t>User Account Approval Process</t>
  </si>
  <si>
    <t>Servers, desktop computers, laptops, tablets, mobile phones, IaaS, PaaS, SaaS</t>
  </si>
  <si>
    <t>UAC-01</t>
  </si>
  <si>
    <t>Your organisation must have in place a process to create and approve user accounts.</t>
  </si>
  <si>
    <t>Is there a documented and operational process for creating and approving user accounts?</t>
  </si>
  <si>
    <t>User account creation and approval process documentation; evidence of process in operation</t>
  </si>
  <si>
    <t>A documented process for creating and approving user accounts exists and is in use. Answer YES to pass.</t>
  </si>
  <si>
    <t>Account creation policy; approval workflow documentation; sample approval records</t>
  </si>
  <si>
    <t>Unique Credentials for Authentication</t>
  </si>
  <si>
    <t>UAC-02</t>
  </si>
  <si>
    <t>Your organisation must authenticate users with unique credentials before granting access to applications or devices.</t>
  </si>
  <si>
    <t>Are all users required to authenticate with unique individual credentials before being granted access to applications or devices?</t>
  </si>
  <si>
    <t>Identity management configuration; evidence that shared accounts are not used for individual access</t>
  </si>
  <si>
    <t>All users authenticate with unique credentials. Shared accounts not used for individual access. Answer YES to pass.</t>
  </si>
  <si>
    <t>Identity management records; user account inventory; authentication configuration</t>
  </si>
  <si>
    <t>Removal of Redundant User Accounts</t>
  </si>
  <si>
    <t>UAC-03</t>
  </si>
  <si>
    <t>Your organisation must remove or disable user accounts when they are no longer required (for example, when a user leaves the organisation or after a defined period of account inactivity).</t>
  </si>
  <si>
    <t>Are user accounts removed or disabled promptly when no longer required, including on departure and after defined inactivity?</t>
  </si>
  <si>
    <t>Leavers process documentation; evidence of timely account deactivation; account review records</t>
  </si>
  <si>
    <t>User accounts removed or disabled when no longer required. Process exists and is evidenced. Answer YES to pass.</t>
  </si>
  <si>
    <t>Leavers process records; joiner-mover-leaver records; account deactivation audit log</t>
  </si>
  <si>
    <t>Multi-factor Authentication</t>
  </si>
  <si>
    <t>UAC-04</t>
  </si>
  <si>
    <t>Implement MFA, where available, and authentication to cloud services must always use MFA.</t>
  </si>
  <si>
    <t>Is MFA implemented wherever available, and is MFA enforced without exception for all cloud service authentication?</t>
  </si>
  <si>
    <t>MFA configuration records for cloud services; evidence that cloud service access enforces MFA</t>
  </si>
  <si>
    <t>MFA applied wherever available. Cloud service authentication always uses MFA. Answer YES to pass.</t>
  </si>
  <si>
    <t>MFA configuration records; cloud service authentication settings; conditional access policy</t>
  </si>
  <si>
    <t>Separate Administrative Accounts</t>
  </si>
  <si>
    <t>Servers, desktop computers, laptops, IaaS, PaaS, SaaS</t>
  </si>
  <si>
    <t>UAC-05</t>
  </si>
  <si>
    <t>Use separate accounts to perform administrative activities only (no emailing, web browsing or other standard user activities that may expose administrative privileges to avoidable risks).</t>
  </si>
  <si>
    <t>Are separate dedicated accounts used for administrative activities only, with no standard user activities conducted from those accounts?</t>
  </si>
  <si>
    <t>Evidence of separate administrative accounts; account inventory showing separation; policy documentation</t>
  </si>
  <si>
    <t>Dedicated administrative accounts used for administrative activities only. Answer YES to pass.</t>
  </si>
  <si>
    <t>Account inventory; administrative account policy; evidence of separation</t>
  </si>
  <si>
    <t>Removal of Unnecessary Privileges</t>
  </si>
  <si>
    <t>UAC-06</t>
  </si>
  <si>
    <t>Remove or disable special access privileges when they are no longer required (when a member of staff changes role, for example).</t>
  </si>
  <si>
    <t>Is there a process to remove or disable special access privileges when no longer required, including on role change?</t>
  </si>
  <si>
    <t>Privilege review records; role change process documentation; evidence of privilege removal on role change</t>
  </si>
  <si>
    <t>Special access privileges removed or disabled when no longer required. Process evidenced. Answer YES to pass.</t>
  </si>
  <si>
    <t>Role change process records; privilege review log; access control audit records</t>
  </si>
  <si>
    <t>PW</t>
  </si>
  <si>
    <t>Brute-force Protection for Passwords</t>
  </si>
  <si>
    <t>PW-01</t>
  </si>
  <si>
    <t>Passwords are protected against brute-force password guessing by implementing at least one of: multi-factor authentication; throttling the rate of attempts so that no more than 10 guesses are permitted in 5 minutes; or locking devices or accounts after no more than 10 unsuccessful attempts.</t>
  </si>
  <si>
    <t>Are user account passwords protected against brute-force attack through MFA, throttling, or account lockout?</t>
  </si>
  <si>
    <t>MFA configuration records; account lockout or throttling policy and configuration settings</t>
  </si>
  <si>
    <t>At least one brute-force protection mechanism implemented. Select the option in use.</t>
  </si>
  <si>
    <t>MFA configuration; account lockout policy; throttling configuration; identity management records</t>
  </si>
  <si>
    <t>Technical Password Quality Controls</t>
  </si>
  <si>
    <t>PW-02</t>
  </si>
  <si>
    <t>Use technical controls to manage the quality of passwords. This will include one of the following: using multi-factor authentication; a minimum password length of at least 12 characters, with no maximum length restrictions; or a minimum password length of at least 8 characters, with no maximum length restrictions and use automatic blocking of common passwords using a deny list.</t>
  </si>
  <si>
    <t>Are technical controls in place to manage the quality of user passwords using MFA, a minimum length requirement, or an 8-character minimum with a deny list?</t>
  </si>
  <si>
    <t>Password policy configuration; directory settings confirming minimum length; deny list configuration or MFA configuration</t>
  </si>
  <si>
    <t>Technical password quality controls in place. Select the option implemented.</t>
  </si>
  <si>
    <t>Password policy configuration; directory settings; deny list configuration; MFA records</t>
  </si>
  <si>
    <t>User Support for Unique Passwords</t>
  </si>
  <si>
    <t>All in-scope accounts</t>
  </si>
  <si>
    <t>PW-03</t>
  </si>
  <si>
    <t>Support users to choose unique passwords for their work accounts by: not enforcing regular password expiry; not enforcing password complexity requirements; and providing usable guidance and tooling to support users in choosing strong unique passwords.</t>
  </si>
  <si>
    <t>Does the organisation support users in choosing unique passwords by not enforcing expiry or complexity, and by providing guidance and tooling?</t>
  </si>
  <si>
    <t>Password policy confirming no mandatory expiry and no complexity enforcement; evidence of user password guidance or password manager provision</t>
  </si>
  <si>
    <t>Regular password expiry not enforced; complexity not enforced; user support provided. Answer YES to pass.</t>
  </si>
  <si>
    <t>Password policy; user guidance documentation; password manager deployment records</t>
  </si>
  <si>
    <t>Compromised Password Response Process</t>
  </si>
  <si>
    <t>PW-04</t>
  </si>
  <si>
    <t>You should also make sure there is an established process in place to change passwords promptly if you know or suspect a password or account has been compromised.</t>
  </si>
  <si>
    <t>Is there an established and operational process to change passwords promptly when a compromise is known or suspected?</t>
  </si>
  <si>
    <t>Incident response procedure covering compromised credentials; evidence of process being operational</t>
  </si>
  <si>
    <t>A process for prompt password change on known or suspected compromise exists and is operational. Answer YES to pass.</t>
  </si>
  <si>
    <t>Incident response documentation; compromised credential procedure; evidence of process in practice</t>
  </si>
  <si>
    <t>IT / Security Operations</t>
  </si>
  <si>
    <t>5. Malware Protection</t>
  </si>
  <si>
    <t>MP</t>
  </si>
  <si>
    <t>Active Malware Protection Mechanism</t>
  </si>
  <si>
    <t>MP-01</t>
  </si>
  <si>
    <t>You must make sure that a malware protection mechanism is active on all devices in scope. For each device, you must use at least one of the options: anti-malware software; or application allow listing.</t>
  </si>
  <si>
    <t>Is an active malware protection mechanism in place on all in-scope devices using anti-malware software or application allow listing?</t>
  </si>
  <si>
    <t>Anti-malware deployment records; application allow listing configuration; endpoint management records confirming coverage</t>
  </si>
  <si>
    <t>An active malware protection mechanism covers all in-scope devices. Select the option implemented.</t>
  </si>
  <si>
    <t>Anti-malware deployment records; allow listing policy and configuration; endpoint management dashboard</t>
  </si>
  <si>
    <t>Anti-malware Configuration</t>
  </si>
  <si>
    <t>Servers, desktop computers, laptops (Windows and macOS)</t>
  </si>
  <si>
    <t>MP-02</t>
  </si>
  <si>
    <t>If you use anti-malware software to protect your device it must be configured to: be updated in line with vendor recommendations; prevent malware from running; prevent the execution of malicious code; and prevent connections to malicious websites over the internet.</t>
  </si>
  <si>
    <t>Where anti-malware software is in use, is it configured to update automatically, prevent malware and malicious code execution, and block connections to malicious websites?</t>
  </si>
  <si>
    <t>Anti-malware configuration records; vendor update settings; real-time protection settings; web filtering configuration</t>
  </si>
  <si>
    <t>Anti-malware software correctly configured as required. Applicable where Option A selected for MP-01.</t>
  </si>
  <si>
    <t>Anti-malware configuration screenshots; policy records; vendor management console exports</t>
  </si>
  <si>
    <t>Application Allow Listing Configuration</t>
  </si>
  <si>
    <t>All in-scope devices</t>
  </si>
  <si>
    <t>MP-03</t>
  </si>
  <si>
    <t>If you use application allow listing: only approved applications, restricted by code signing, are allowed to execute on devices; you must actively approve such applications before deploying them to devices; and you must maintain a current list of approved applications, and users must not be able to install any application that is unsigned or has an invalid signature.</t>
  </si>
  <si>
    <t>Where application allow listing is in use, are only code-signed approved applications permitted to execute, with a current approved list maintained?</t>
  </si>
  <si>
    <t>Application allow listing policy; approved application inventory; code signing configuration; evidence that unsigned applications are blocked</t>
  </si>
  <si>
    <t>Application allow listing correctly implemented. Applicable where Option B selected for MP-01.</t>
  </si>
  <si>
    <t>Allow listing policy; approved application list; code signing configuration; endpoint management records</t>
  </si>
  <si>
    <t>Cyber Essentials Certification Readiness Dashboard</t>
  </si>
  <si>
    <t>Panel 1 - Certification Readiness Summary</t>
  </si>
  <si>
    <t>Total Requirement Items</t>
  </si>
  <si>
    <t>Passed</t>
  </si>
  <si>
    <t>Failed</t>
  </si>
  <si>
    <t>Not Assessed</t>
  </si>
  <si>
    <t>N/A</t>
  </si>
  <si>
    <t>Panel 2 - Domain Pass Rate</t>
  </si>
  <si>
    <t>Items</t>
  </si>
  <si>
    <t>Panel 3 - Evidence Completeness</t>
  </si>
  <si>
    <t>Items with evidence recorded</t>
  </si>
  <si>
    <t>Items with assessed value entered</t>
  </si>
  <si>
    <t>Items with reviewer sign-off</t>
  </si>
  <si>
    <t>Panel 4 - Key Contact Coverage</t>
  </si>
  <si>
    <t>Items with a named key contact recorded</t>
  </si>
  <si>
    <t>Out of total items</t>
  </si>
  <si>
    <t>Panel 5 - Assessment Items by Responsible Team</t>
  </si>
  <si>
    <t>Responsible Team</t>
  </si>
  <si>
    <t>Item Count</t>
  </si>
  <si>
    <t>Panel 6 - Requirement Item Status Heat Map</t>
  </si>
  <si>
    <t>RAID Log - Cyber Essentials Assessment Programme</t>
  </si>
  <si>
    <t>RAID ID</t>
  </si>
  <si>
    <t>Type</t>
  </si>
  <si>
    <t>Category</t>
  </si>
  <si>
    <t>Title</t>
  </si>
  <si>
    <t>Description</t>
  </si>
  <si>
    <t>Date Raised</t>
  </si>
  <si>
    <t>Raised By</t>
  </si>
  <si>
    <t>Priority</t>
  </si>
  <si>
    <t>Probability
(Risks only)</t>
  </si>
  <si>
    <t>Impact</t>
  </si>
  <si>
    <t>Owner</t>
  </si>
  <si>
    <t>Mitigation or Action</t>
  </si>
  <si>
    <t>Resolution Date</t>
  </si>
  <si>
    <t>Notes</t>
  </si>
  <si>
    <t>R001</t>
  </si>
  <si>
    <t>Risk</t>
  </si>
  <si>
    <t>Programme</t>
  </si>
  <si>
    <t>Scope incomplete at submission</t>
  </si>
  <si>
    <t>Organisation may present an incomplete device inventory or fail to declare all cloud services, resulting in certification refusal.</t>
  </si>
  <si>
    <t>Programme Authority</t>
  </si>
  <si>
    <t>High</t>
  </si>
  <si>
    <t>Medium</t>
  </si>
  <si>
    <t>6</t>
  </si>
  <si>
    <t>Complete Scope and Org Context sheet fully before assessment commences. Cross-reference against cloud service billing records.</t>
  </si>
  <si>
    <t>Open</t>
  </si>
  <si>
    <t>A001</t>
  </si>
  <si>
    <t>Assumption</t>
  </si>
  <si>
    <t>Technical</t>
  </si>
  <si>
    <t>Software firewalls are enabled by default</t>
  </si>
  <si>
    <t>Assuming that all laptops and desktops have native OS software firewalls enabled. Must be verified during assessment.</t>
  </si>
  <si>
    <t>IT Owner</t>
  </si>
  <si>
    <t>Verify software firewall status during evidence gathering for FW-02.</t>
  </si>
  <si>
    <t>I001</t>
  </si>
  <si>
    <t>Issue</t>
  </si>
  <si>
    <t>Board signatory unavailable</t>
  </si>
  <si>
    <t>If the designated board signatory is unavailable at submission the certification cannot be awarded. Identify a qualified substitute.</t>
  </si>
  <si>
    <t>Identify primary and secondary board signatories at programme outset.</t>
  </si>
  <si>
    <t>D001</t>
  </si>
  <si>
    <t>Dependency</t>
  </si>
  <si>
    <t>Cloud service MFA configuration</t>
  </si>
  <si>
    <t>Evidence for UAC-04 (MFA for cloud services) depends on IT team exporting MFA configuration from each cloud platform. Allow sufficient lead time.</t>
  </si>
  <si>
    <t>IT / IAM</t>
  </si>
  <si>
    <t>Issue evidence request to IT team at programme start. Specify required output format per platform.</t>
  </si>
  <si>
    <t>REMEDIATION PLAN</t>
  </si>
  <si>
    <t>Q2 2026</t>
  </si>
  <si>
    <t>Q3 2026</t>
  </si>
  <si>
    <t>Remediation Start Date</t>
  </si>
  <si>
    <t>Update Assessment Completion Date on Cover sheet to shift all task dates</t>
  </si>
  <si>
    <t>June 2026</t>
  </si>
  <si>
    <t>July 2026</t>
  </si>
  <si>
    <t>August 2026</t>
  </si>
  <si>
    <t>September 2026</t>
  </si>
  <si>
    <t>Rows dim automatically when assessment status is PASS. Complete dates and owner for FAIL items.</t>
  </si>
  <si>
    <t>Task ID</t>
  </si>
  <si>
    <t>Start Date</t>
  </si>
  <si>
    <t>End Date</t>
  </si>
  <si>
    <t>Duration (days)</t>
  </si>
  <si>
    <t>% Complete</t>
  </si>
  <si>
    <t>RAG Status</t>
  </si>
  <si>
    <t>Dependencies</t>
  </si>
  <si>
    <t>Assessment Status</t>
  </si>
  <si>
    <t>Gantt Visibility</t>
  </si>
  <si>
    <t>Working sheet. All data is formula-linked from the Controls Assessment. The Gantt Visibility column drives Remediation Plan row highlighting. Do not edit values directly in this sheet.</t>
  </si>
  <si>
    <t>1. Scope Boundary</t>
  </si>
  <si>
    <t>2. Device Inventory Summary</t>
  </si>
  <si>
    <t>3. Cloud Services</t>
  </si>
  <si>
    <t>4. Remote and Mobile Working</t>
  </si>
  <si>
    <t>5. Third-party and Managed Infrastructure</t>
  </si>
  <si>
    <t>6. Software Development</t>
  </si>
  <si>
    <t>Example Evidence</t>
  </si>
  <si>
    <t>Description of evidence to substantiate a PASS assessment.</t>
  </si>
  <si>
    <t>Cyber Essentials Assessment Workplan v1.0 - Controls Assessment</t>
  </si>
  <si>
    <t>License-ID: CN-NIST-CSF-SMB-20260522-001</t>
  </si>
  <si>
    <t>LICENSE AND TERMS OF USE</t>
  </si>
  <si>
    <t>1.   License</t>
  </si>
  <si>
    <t>Creative Commons BY-NC-SA 4.0</t>
  </si>
  <si>
    <t>creativecommons.org/licenses/by-nc-sa/4.0</t>
  </si>
  <si>
    <t>2.   License Conditions</t>
  </si>
  <si>
    <t>BY - Attribution</t>
  </si>
  <si>
    <t>Credit must be given to Cyber Native as the originating author. The CC BY-NC-SA 4.0 license identifier and a link to creativecommons.org/licenses/by-nc-sa/4.0 must be retained on all copies and adaptations. Attribution must not suggest that Cyber Native endorses any particular use unless separately agreed in writing.</t>
  </si>
  <si>
    <t>NC - Non-Commercial</t>
  </si>
  <si>
    <t>SA - Share-Alike</t>
  </si>
  <si>
    <t>3.   Third-Party Rights and Acknowledgements</t>
  </si>
  <si>
    <t>4.   Attribution and Integrity</t>
  </si>
  <si>
    <t>5.   No Warranty</t>
  </si>
  <si>
    <t>By using, opening, or adapting this workbook you confirm that you have read and agree to the terms below. Commercial use requires a separate license. Contact hello@cybernative.uk for details.</t>
  </si>
  <si>
    <t>The Workplan may not be used for commercial purposes. This includes, without limitation, paid consulting or advisory engagements delivered to third-party clients; embedding the assessment logic or methodology in a commercial software or SaaS product; and use as a primary resource in paid training, workshops, or certification programs. Commercial use requires a separate license from Cyber Native. Contact hello@cybernative.uk for details.</t>
  </si>
  <si>
    <t>The Workplan is provided on an "as-is" basis. It does not constitute legal, regulatory, or professional advice. No liability is accepted for decisions made in reliance on its outputs.</t>
  </si>
  <si>
    <t>Open Government Licence v3.0 (OGL v3.0)</t>
  </si>
  <si>
    <t>Cyber Native  |  cybernative.uk  |  Licensed under CC BY-NC-SA 4.0  |  Cyber Essentials Assessment Workplan  |  2026</t>
  </si>
  <si>
    <t>Contains public sector information published by the National Cyber Security Centre (NCSC) and licensed under the Open Government Licence v3.0.
OGL v3.0 terms: nationalarchives.gov.uk/doc/open-government-licence/version/3
Crown copyright 2026.</t>
  </si>
  <si>
    <t>Copyright 2026 Cyber Native. Contact: hello@cybernative.uk</t>
  </si>
  <si>
    <t>Adaptations of the Workplan are permitted for internal use and internal circulation within a single organisation. Internal adaptation and internal circulation do not constitute external distribution and therefore do not trigger the Share-Alike condition. Where an adaptation is shared externally (made available to any party outside the adapting organisation) it must be distributed under the same CC BY-NC-SA 4.0 license terms. No additional restrictions may be applied to externally shared adaptations beyond those in this license.</t>
  </si>
  <si>
    <t>This Workplan references material published by third-party organisations. Those rights are unaffected by this license. Users of this Workplan remain independently bound by the original terms applicable to any such referenced material.</t>
  </si>
  <si>
    <t>All copies and adaptations must retain this license notice and credit Cyber Native as the originating author of the Workplan. The Workplan must not be represented as the original work of any other individual or organisation.</t>
  </si>
  <si>
    <t>This workplan enables structured pre-formal-assessment evidence gathering in preparation for Cyber Essentials certification under CE v3.3. Complete the Scope and Org Context sheet before commencing the Controls Assessment. Can also be used to demonstrate efforts to the Certification Body at submission or to support client due dilligence process in suply chain assessments.</t>
  </si>
  <si>
    <t>Remediation Plan and Remediation Index</t>
  </si>
  <si>
    <t>The Remediation Plan is a Gantt chart containing all 32 requirement items as pre-loaded tasks. Rows dim automatically for items that pass assessment - no manual deletion is required. Task data in columns A, B and C are formula-linked to the Controls Assessment via the Remediation Index. Any change to a requirement title or responsible team in the Controls Assessment cascades automatically. 
Complete the Owner, Start Date, End Date and Percentage Complete columns for failed items to build the remediation timeline. The RAG Status column calculates automatically. Timeline start date: the Remediation Start Date cell (D2 on the Remediation Plan) is driven by the Assessment Completion Date on the Cover sheet plus 14 calendar days. The 14-day buffer reflects the time required for internal alignment on funding and resourcing, and for obtaining management commitment before remediation activity begins. 
Update the Assessment Completion Date on the Cover sheet to shift the entire timeline automatically. The Remediation Index is a working sheet linking the Controls Assessment to the Remediation Plan. It shows the current pass or fail status of each item and the Gantt visibility flag. Do not edit values directly in the Index.</t>
  </si>
  <si>
    <t>CN-CE-WORKPLAN-v1.0</t>
  </si>
  <si>
    <t>CN-UK-CE-1.0-20260611-01</t>
  </si>
  <si>
    <t>This Cyber Essentials Assessment Workplan (the "Workplan") is published by Cyber Native and licensed under the Creative Commons Attribution-NonCommercial-ShareAlike 4.0 International License (CC BY-NC-SA 4.0). By using, adapting, or sharing this Workplan you agree to the conditions set out below.</t>
  </si>
  <si>
    <t>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</si>
</sst>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
    <numFmt numFmtId="166" formatCode="[$-F800]dddd\,\ mmmm\ dd\,\ yyyy"/>
  </numFmts>
  <fonts count="51" x14ac:knownFonts="1">
    <font>
      <sz val="11"/>
      <color theme="1"/>
      <name val="Calibri"/>
      <family val="2"/>
      <charset val="1"/>
    </font>
    <font>
      <sz val="11"/>
      <color theme="1"/>
      <name val="Calibri"/>
      <family val="2"/>
      <scheme val="minor"/>
    </font>
    <font>
      <b/>
      <sz val="20"/>
      <color rgb="FFFFFFFF"/>
      <name val="Arial"/>
      <family val="2"/>
    </font>
    <font>
      <i/>
      <sz val="9"/>
      <color rgb="FF6B8EAA"/>
      <name val="Arial"/>
      <family val="2"/>
    </font>
    <font>
      <b/>
      <sz val="11"/>
      <color rgb="FFFFFFFF"/>
      <name val="Arial"/>
      <family val="2"/>
    </font>
    <font>
      <b/>
      <sz val="10"/>
      <color rgb="FF1C3A54"/>
      <name val="Arial"/>
      <family val="2"/>
    </font>
    <font>
      <sz val="10"/>
      <color rgb="FF1F4E79"/>
      <name val="Arial"/>
      <family val="2"/>
    </font>
    <font>
      <sz val="9"/>
      <color rgb="FF3D5A72"/>
      <name val="Arial"/>
      <family val="2"/>
    </font>
    <font>
      <b/>
      <sz val="13"/>
      <color rgb="FFFFFFFF"/>
      <name val="Arial"/>
      <family val="2"/>
    </font>
    <font>
      <b/>
      <sz val="10"/>
      <color rgb="FFFFFFFF"/>
      <name val="Arial"/>
      <family val="2"/>
    </font>
    <font>
      <sz val="10"/>
      <color rgb="FF0D2236"/>
      <name val="Arial"/>
      <family val="2"/>
    </font>
    <font>
      <b/>
      <sz val="9"/>
      <color rgb="FFFFFFFF"/>
      <name val="Arial"/>
      <family val="2"/>
    </font>
    <font>
      <sz val="9"/>
      <color rgb="FF0D2236"/>
      <name val="Arial"/>
      <family val="2"/>
    </font>
    <font>
      <b/>
      <sz val="14"/>
      <color rgb="FFFFFFFF"/>
      <name val="Arial"/>
      <family val="2"/>
    </font>
    <font>
      <sz val="9"/>
      <color rgb="FF6B8EAA"/>
      <name val="Arial"/>
      <family val="2"/>
    </font>
    <font>
      <b/>
      <sz val="9"/>
      <color rgb="FF0D2236"/>
      <name val="Arial"/>
      <family val="2"/>
    </font>
    <font>
      <b/>
      <sz val="11"/>
      <color rgb="FF1C3A54"/>
      <name val="Arial"/>
      <family val="2"/>
    </font>
    <font>
      <b/>
      <sz val="10"/>
      <color rgb="FF217346"/>
      <name val="Arial"/>
      <family val="2"/>
    </font>
    <font>
      <b/>
      <sz val="12"/>
      <color rgb="FF217346"/>
      <name val="Arial"/>
      <family val="2"/>
    </font>
    <font>
      <b/>
      <sz val="10"/>
      <color rgb="FF9C1F1F"/>
      <name val="Arial"/>
      <family val="2"/>
    </font>
    <font>
      <b/>
      <sz val="12"/>
      <color rgb="FF9C1F1F"/>
      <name val="Arial"/>
      <family val="2"/>
    </font>
    <font>
      <b/>
      <sz val="10"/>
      <color rgb="FF6B8EAA"/>
      <name val="Arial"/>
      <family val="2"/>
    </font>
    <font>
      <b/>
      <sz val="12"/>
      <color rgb="FF6B8EAA"/>
      <name val="Arial"/>
      <family val="2"/>
    </font>
    <font>
      <b/>
      <sz val="10"/>
      <color rgb="FF0D2236"/>
      <name val="Arial"/>
      <family val="2"/>
    </font>
    <font>
      <sz val="10"/>
      <color rgb="FF6B8EAA"/>
      <name val="Arial"/>
      <family val="2"/>
    </font>
    <font>
      <b/>
      <sz val="11"/>
      <color rgb="FF0D2236"/>
      <name val="Arial"/>
      <family val="2"/>
    </font>
    <font>
      <b/>
      <sz val="9"/>
      <color rgb="FF1C3A54"/>
      <name val="Arial"/>
      <family val="2"/>
    </font>
    <font>
      <i/>
      <sz val="8"/>
      <color rgb="FF6B8EAA"/>
      <name val="Arial"/>
      <family val="2"/>
    </font>
    <font>
      <sz val="8"/>
      <color rgb="FFFFFFFF"/>
      <name val="Arial"/>
      <family val="2"/>
    </font>
    <font>
      <i/>
      <sz val="7"/>
      <color rgb="FF6B8EAA"/>
      <name val="Arial"/>
      <family val="2"/>
    </font>
    <font>
      <sz val="7"/>
      <color rgb="FF3D5A72"/>
      <name val="Arial"/>
      <family val="2"/>
    </font>
    <font>
      <b/>
      <sz val="8"/>
      <color rgb="FFFFFFFF"/>
      <name val="Arial"/>
      <family val="2"/>
    </font>
    <font>
      <sz val="6"/>
      <color rgb="FF3D5A72"/>
      <name val="Arial"/>
      <family val="2"/>
    </font>
    <font>
      <sz val="9"/>
      <color rgb="FF1F4E79"/>
      <name val="Arial"/>
      <family val="2"/>
    </font>
    <font>
      <i/>
      <sz val="9"/>
      <color rgb="FF3D5A72"/>
      <name val="Arial"/>
      <family val="2"/>
    </font>
    <font>
      <sz val="9"/>
      <color rgb="FF3D5A72"/>
      <name val="Arial"/>
      <family val="2"/>
    </font>
    <font>
      <b/>
      <sz val="10"/>
      <color rgb="FF1C3A54"/>
      <name val="Arial"/>
      <family val="2"/>
    </font>
    <font>
      <b/>
      <sz val="20"/>
      <color rgb="FFFFFFFF"/>
      <name val="Arial"/>
      <family val="2"/>
    </font>
    <font>
      <sz val="9"/>
      <color rgb="FF1C3A54"/>
      <name val="Arial"/>
      <family val="2"/>
    </font>
    <font>
      <sz val="11"/>
      <color theme="0"/>
      <name val="Calibri"/>
      <family val="2"/>
      <scheme val="minor"/>
    </font>
    <font>
      <sz val="7"/>
      <color rgb="FFFFFFFF"/>
      <name val="Arial"/>
      <family val="2"/>
    </font>
    <font>
      <b/>
      <sz val="14"/>
      <color rgb="FFFFFFFF"/>
      <name val="Arial"/>
      <family val="2"/>
    </font>
    <font>
      <sz val="10"/>
      <color rgb="FFEBF0F5"/>
      <name val="Arial"/>
      <family val="2"/>
    </font>
    <font>
      <i/>
      <sz val="9"/>
      <color rgb="FFEBF0F5"/>
      <name val="Arial"/>
      <family val="2"/>
    </font>
    <font>
      <b/>
      <sz val="11"/>
      <color rgb="FFFFFFFF"/>
      <name val="Arial"/>
      <family val="2"/>
    </font>
    <font>
      <b/>
      <sz val="10"/>
      <color rgb="FF1A4FBF"/>
      <name val="Arial"/>
      <family val="2"/>
    </font>
    <font>
      <sz val="10"/>
      <color rgb="FF3D5A72"/>
      <name val="Arial"/>
      <family val="2"/>
    </font>
    <font>
      <i/>
      <sz val="9"/>
      <color rgb="FFFFFFFF"/>
      <name val="Arial"/>
      <family val="2"/>
    </font>
    <font>
      <sz val="10"/>
      <color rgb="FF3D5A72"/>
      <name val="Arial"/>
      <family val="2"/>
    </font>
    <font>
      <b/>
      <sz val="12"/>
      <color rgb="FFFFFFFF"/>
      <name val="Arial"/>
      <family val="2"/>
    </font>
    <font>
      <sz val="8"/>
      <name val="Calibri"/>
      <family val="2"/>
      <charset val="1"/>
    </font>
  </fonts>
  <fills count="22">
    <fill>
      <patternFill patternType="none"/>
    </fill>
    <fill>
      <patternFill patternType="gray125"/>
    </fill>
    <fill>
      <patternFill patternType="solid">
        <fgColor rgb="FF1C3A54"/>
        <bgColor rgb="FF1F4E79"/>
      </patternFill>
    </fill>
    <fill>
      <patternFill patternType="solid">
        <fgColor rgb="FF1A4FBF"/>
        <bgColor rgb="FF1F4E79"/>
      </patternFill>
    </fill>
    <fill>
      <patternFill patternType="solid">
        <fgColor rgb="FFD6E2ED"/>
        <bgColor rgb="FFD6E8F5"/>
      </patternFill>
    </fill>
    <fill>
      <patternFill patternType="solid">
        <fgColor rgb="FFFFFFFF"/>
        <bgColor rgb="FFF2F2F2"/>
      </patternFill>
    </fill>
    <fill>
      <patternFill patternType="solid">
        <fgColor rgb="FFE2EAF2"/>
        <bgColor rgb="FFEDE7F6"/>
      </patternFill>
    </fill>
    <fill>
      <patternFill patternType="solid">
        <fgColor rgb="FF2B6BF5"/>
        <bgColor rgb="FF4472C4"/>
      </patternFill>
    </fill>
    <fill>
      <patternFill patternType="solid">
        <fgColor rgb="FFD6E8F5"/>
        <bgColor rgb="FFD6E2ED"/>
      </patternFill>
    </fill>
    <fill>
      <patternFill patternType="solid">
        <fgColor rgb="FFD6EFE8"/>
        <bgColor rgb="FFD6E8F5"/>
      </patternFill>
    </fill>
    <fill>
      <patternFill patternType="solid">
        <fgColor rgb="FFFFF2CC"/>
        <bgColor rgb="FFFCE4D6"/>
      </patternFill>
    </fill>
    <fill>
      <patternFill patternType="solid">
        <fgColor rgb="FFEDE7F6"/>
        <bgColor rgb="FFE2EAF2"/>
      </patternFill>
    </fill>
    <fill>
      <patternFill patternType="solid">
        <fgColor rgb="FFFCE4D6"/>
        <bgColor rgb="FFFFE0E0"/>
      </patternFill>
    </fill>
    <fill>
      <patternFill patternType="solid">
        <fgColor rgb="FFC6EFCE"/>
        <bgColor rgb="FFD6EFE8"/>
      </patternFill>
    </fill>
    <fill>
      <patternFill patternType="solid">
        <fgColor rgb="FFFFC7CE"/>
        <bgColor rgb="FFFFE0E0"/>
      </patternFill>
    </fill>
    <fill>
      <patternFill patternType="solid">
        <fgColor rgb="FFF2F2F2"/>
        <bgColor rgb="FFEDE7F6"/>
      </patternFill>
    </fill>
    <fill>
      <patternFill patternType="solid">
        <fgColor rgb="FF6B8EAA"/>
        <bgColor rgb="FF969696"/>
      </patternFill>
    </fill>
    <fill>
      <patternFill patternType="solid">
        <fgColor rgb="FFFFFFFF"/>
      </patternFill>
    </fill>
    <fill>
      <patternFill patternType="solid">
        <fgColor rgb="FF1C3A54"/>
      </patternFill>
    </fill>
    <fill>
      <patternFill patternType="solid">
        <fgColor rgb="FF1A4FBF"/>
      </patternFill>
    </fill>
    <fill>
      <patternFill patternType="solid">
        <fgColor rgb="FFE2EAF2"/>
      </patternFill>
    </fill>
    <fill>
      <patternFill patternType="solid">
        <fgColor rgb="FFEBF0F5"/>
      </patternFill>
    </fill>
  </fills>
  <borders count="6">
    <border>
      <left/>
      <right/>
      <top/>
      <bottom/>
      <diagonal/>
    </border>
    <border>
      <left style="thin">
        <color rgb="FFB8CCE0"/>
      </left>
      <right/>
      <top style="thin">
        <color rgb="FFB8CCE0"/>
      </top>
      <bottom style="thin">
        <color rgb="FFB8CCE0"/>
      </bottom>
      <diagonal/>
    </border>
    <border>
      <left style="thin">
        <color rgb="FFB8CCE0"/>
      </left>
      <right style="thin">
        <color rgb="FFB8CCE0"/>
      </right>
      <top style="thin">
        <color rgb="FFB8CCE0"/>
      </top>
      <bottom style="thin">
        <color rgb="FFB8CCE0"/>
      </bottom>
      <diagonal/>
    </border>
    <border>
      <left/>
      <right/>
      <top style="thin">
        <color rgb="FFB8CCE0"/>
      </top>
      <bottom style="thin">
        <color rgb="FFB8CCE0"/>
      </bottom>
      <diagonal/>
    </border>
    <border>
      <left/>
      <right style="thin">
        <color rgb="FFB8CCE0"/>
      </right>
      <top style="thin">
        <color rgb="FFB8CCE0"/>
      </top>
      <bottom style="thin">
        <color rgb="FFB8CCE0"/>
      </bottom>
      <diagonal/>
    </border>
    <border>
      <left style="thin">
        <color rgb="FFB8CCE0"/>
      </left>
      <right/>
      <top/>
      <bottom/>
      <diagonal/>
    </border>
  </borders>
  <cellStyleXfs count="2">
    <xf numFmtId="0" fontId="0" fillId="0" borderId="0"/>
    <xf numFmtId="0" fontId="1" fillId="0" borderId="0"/>
  </cellStyleXfs>
  <cellXfs count="107">
    <xf numFmtId="0" fontId="0" fillId="0" borderId="0" xfId="0"/>
    <xf numFmtId="0" fontId="11" fillId="7" borderId="2" xfId="0" applyFont="1" applyFill="1" applyBorder="1" applyAlignment="1">
      <alignment horizontal="center" vertical="center" wrapText="1"/>
    </xf>
    <xf numFmtId="0" fontId="5" fillId="4" borderId="2" xfId="0" applyFont="1" applyFill="1" applyBorder="1" applyAlignment="1">
      <alignment horizontal="right" vertical="center" wrapText="1"/>
    </xf>
    <xf numFmtId="0" fontId="6" fillId="5" borderId="2" xfId="0" applyFont="1" applyFill="1" applyBorder="1" applyAlignment="1">
      <alignment horizontal="left" vertical="center" wrapText="1"/>
    </xf>
    <xf numFmtId="0" fontId="10" fillId="6"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1" fillId="2" borderId="2" xfId="0" applyFont="1" applyFill="1" applyBorder="1" applyAlignment="1">
      <alignment horizontal="center" vertical="center" wrapText="1"/>
    </xf>
    <xf numFmtId="0" fontId="12" fillId="8" borderId="2" xfId="0" applyFont="1" applyFill="1" applyBorder="1" applyAlignment="1">
      <alignment horizontal="left" vertical="center" wrapText="1"/>
    </xf>
    <xf numFmtId="0" fontId="14" fillId="4" borderId="2" xfId="0" applyFont="1" applyFill="1" applyBorder="1" applyAlignment="1">
      <alignment horizontal="center" vertical="center" wrapText="1"/>
    </xf>
    <xf numFmtId="0" fontId="12" fillId="6" borderId="2" xfId="0" applyFont="1" applyFill="1" applyBorder="1" applyAlignment="1">
      <alignment horizontal="center" vertical="center" wrapText="1"/>
    </xf>
    <xf numFmtId="164" fontId="14" fillId="4" borderId="2" xfId="0" applyNumberFormat="1" applyFont="1" applyFill="1" applyBorder="1" applyAlignment="1">
      <alignment horizontal="center" vertical="center" wrapText="1"/>
    </xf>
    <xf numFmtId="0" fontId="15" fillId="5" borderId="2" xfId="0" applyFont="1" applyFill="1" applyBorder="1" applyAlignment="1">
      <alignment horizontal="center" vertical="center" wrapText="1"/>
    </xf>
    <xf numFmtId="0" fontId="12" fillId="9" borderId="2" xfId="0" applyFont="1" applyFill="1" applyBorder="1" applyAlignment="1">
      <alignment horizontal="left" vertical="center" wrapText="1"/>
    </xf>
    <xf numFmtId="0" fontId="12" fillId="10" borderId="2" xfId="0" applyFont="1" applyFill="1" applyBorder="1" applyAlignment="1">
      <alignment horizontal="left" vertical="center" wrapText="1"/>
    </xf>
    <xf numFmtId="0" fontId="12" fillId="11" borderId="2" xfId="0" applyFont="1" applyFill="1" applyBorder="1" applyAlignment="1">
      <alignment horizontal="left" vertical="center" wrapText="1"/>
    </xf>
    <xf numFmtId="0" fontId="12" fillId="12" borderId="2" xfId="0" applyFont="1" applyFill="1" applyBorder="1" applyAlignment="1">
      <alignment horizontal="left" vertical="center" wrapText="1"/>
    </xf>
    <xf numFmtId="0" fontId="16" fillId="5" borderId="2" xfId="0" applyFont="1" applyFill="1" applyBorder="1" applyAlignment="1">
      <alignment horizontal="center" vertical="center" wrapText="1"/>
    </xf>
    <xf numFmtId="0" fontId="17" fillId="13" borderId="2" xfId="0" applyFont="1" applyFill="1" applyBorder="1" applyAlignment="1">
      <alignment horizontal="center" vertical="center" wrapText="1"/>
    </xf>
    <xf numFmtId="0" fontId="18" fillId="13" borderId="2" xfId="0" applyFont="1" applyFill="1" applyBorder="1" applyAlignment="1">
      <alignment horizontal="center" vertical="center" wrapText="1"/>
    </xf>
    <xf numFmtId="0" fontId="19" fillId="14" borderId="2" xfId="0" applyFont="1" applyFill="1" applyBorder="1" applyAlignment="1">
      <alignment horizontal="center" vertical="center" wrapText="1"/>
    </xf>
    <xf numFmtId="0" fontId="20" fillId="14" borderId="2" xfId="0" applyFont="1" applyFill="1" applyBorder="1" applyAlignment="1">
      <alignment horizontal="center" vertical="center" wrapText="1"/>
    </xf>
    <xf numFmtId="0" fontId="21" fillId="15" borderId="2" xfId="0" applyFont="1" applyFill="1" applyBorder="1" applyAlignment="1">
      <alignment horizontal="center" vertical="center" wrapText="1"/>
    </xf>
    <xf numFmtId="0" fontId="22" fillId="15"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2" fillId="4" borderId="2"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4" fillId="15" borderId="2"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25" fillId="6" borderId="2" xfId="0" applyFont="1" applyFill="1" applyBorder="1" applyAlignment="1">
      <alignment horizontal="center" vertical="center" wrapText="1"/>
    </xf>
    <xf numFmtId="0" fontId="25" fillId="4" borderId="2"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31" fillId="2" borderId="2" xfId="0" applyFont="1" applyFill="1" applyBorder="1" applyAlignment="1">
      <alignment horizontal="center" vertical="center" wrapText="1"/>
    </xf>
    <xf numFmtId="165" fontId="32" fillId="6" borderId="2" xfId="0" applyNumberFormat="1" applyFont="1" applyFill="1" applyBorder="1" applyAlignment="1">
      <alignment horizontal="center" vertical="center"/>
    </xf>
    <xf numFmtId="0" fontId="7" fillId="8" borderId="2" xfId="0" applyFont="1" applyFill="1" applyBorder="1" applyAlignment="1">
      <alignment horizontal="left" vertical="center" wrapText="1"/>
    </xf>
    <xf numFmtId="14" fontId="33" fillId="5" borderId="2" xfId="0" applyNumberFormat="1" applyFont="1" applyFill="1" applyBorder="1" applyAlignment="1">
      <alignment horizontal="center" vertical="center" wrapText="1"/>
    </xf>
    <xf numFmtId="1" fontId="12" fillId="6" borderId="2" xfId="0" applyNumberFormat="1" applyFont="1" applyFill="1" applyBorder="1" applyAlignment="1">
      <alignment horizontal="center" vertical="center" wrapText="1"/>
    </xf>
    <xf numFmtId="9" fontId="33" fillId="5" borderId="2" xfId="0" applyNumberFormat="1" applyFont="1" applyFill="1" applyBorder="1" applyAlignment="1">
      <alignment horizontal="center" vertical="center" wrapText="1"/>
    </xf>
    <xf numFmtId="0" fontId="12" fillId="5"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7" fillId="10" borderId="2" xfId="0" applyFont="1" applyFill="1" applyBorder="1" applyAlignment="1">
      <alignment horizontal="left" vertical="center" wrapText="1"/>
    </xf>
    <xf numFmtId="0" fontId="7" fillId="11" borderId="2" xfId="0" applyFont="1" applyFill="1" applyBorder="1" applyAlignment="1">
      <alignment horizontal="left" vertical="center" wrapText="1"/>
    </xf>
    <xf numFmtId="0" fontId="7" fillId="12" borderId="2" xfId="0" applyFont="1" applyFill="1" applyBorder="1" applyAlignment="1">
      <alignment horizontal="left" vertical="center" wrapText="1"/>
    </xf>
    <xf numFmtId="0" fontId="11" fillId="16" borderId="2" xfId="0" applyFont="1" applyFill="1" applyBorder="1" applyAlignment="1">
      <alignment horizontal="center" vertical="center" wrapText="1"/>
    </xf>
    <xf numFmtId="0" fontId="26" fillId="6" borderId="2" xfId="0" applyFont="1" applyFill="1" applyBorder="1" applyAlignment="1">
      <alignment horizontal="center" vertical="center" wrapText="1"/>
    </xf>
    <xf numFmtId="0" fontId="34" fillId="10" borderId="2" xfId="0" applyFont="1" applyFill="1" applyBorder="1" applyAlignment="1">
      <alignment horizontal="left" vertical="center" wrapText="1"/>
    </xf>
    <xf numFmtId="0" fontId="35" fillId="10" borderId="2" xfId="0" applyFont="1" applyFill="1" applyBorder="1" applyAlignment="1">
      <alignment horizontal="left" vertical="center" wrapText="1"/>
    </xf>
    <xf numFmtId="0" fontId="36" fillId="4" borderId="2" xfId="0" applyFont="1" applyFill="1" applyBorder="1" applyAlignment="1">
      <alignment horizontal="right" vertical="center" wrapText="1"/>
    </xf>
    <xf numFmtId="0" fontId="26" fillId="4" borderId="1" xfId="0" applyFont="1" applyFill="1" applyBorder="1" applyAlignment="1">
      <alignment vertical="center" wrapText="1"/>
    </xf>
    <xf numFmtId="166" fontId="38" fillId="4" borderId="1" xfId="0" applyNumberFormat="1" applyFont="1" applyFill="1" applyBorder="1" applyAlignment="1">
      <alignment horizontal="left" vertical="center" wrapText="1"/>
    </xf>
    <xf numFmtId="17" fontId="6" fillId="5" borderId="2" xfId="0" applyNumberFormat="1" applyFont="1" applyFill="1" applyBorder="1" applyAlignment="1">
      <alignment horizontal="left" vertical="center" wrapText="1"/>
    </xf>
    <xf numFmtId="0" fontId="1" fillId="17" borderId="0" xfId="1" applyFill="1"/>
    <xf numFmtId="0" fontId="1" fillId="0" borderId="0" xfId="1"/>
    <xf numFmtId="0" fontId="40" fillId="0" borderId="0" xfId="1" applyFont="1"/>
    <xf numFmtId="0" fontId="1" fillId="18" borderId="0" xfId="1" applyFill="1"/>
    <xf numFmtId="0" fontId="1" fillId="19" borderId="0" xfId="1" applyFill="1"/>
    <xf numFmtId="0" fontId="1" fillId="20" borderId="0" xfId="1" applyFill="1"/>
    <xf numFmtId="0" fontId="45" fillId="20" borderId="0" xfId="1" applyFont="1" applyFill="1" applyAlignment="1">
      <alignment horizontal="left" vertical="top" wrapText="1"/>
    </xf>
    <xf numFmtId="0" fontId="46" fillId="20" borderId="0" xfId="1" applyFont="1" applyFill="1" applyAlignment="1">
      <alignment horizontal="left" vertical="top" wrapText="1"/>
    </xf>
    <xf numFmtId="0" fontId="1" fillId="21" borderId="0" xfId="1" applyFill="1"/>
    <xf numFmtId="0" fontId="45" fillId="21" borderId="0" xfId="1" applyFont="1" applyFill="1" applyAlignment="1">
      <alignment horizontal="left" vertical="top" wrapText="1"/>
    </xf>
    <xf numFmtId="0" fontId="46" fillId="21" borderId="0" xfId="1" applyFont="1" applyFill="1" applyAlignment="1">
      <alignment horizontal="left" vertical="top" wrapText="1"/>
    </xf>
    <xf numFmtId="0" fontId="39" fillId="0" borderId="0" xfId="1" applyFont="1"/>
    <xf numFmtId="0" fontId="48" fillId="20" borderId="0" xfId="1" applyFont="1" applyFill="1" applyAlignment="1">
      <alignment horizontal="left" vertical="top" wrapText="1"/>
    </xf>
    <xf numFmtId="0" fontId="30" fillId="4" borderId="1" xfId="0" applyFont="1" applyFill="1" applyBorder="1" applyAlignment="1">
      <alignment vertical="center" wrapText="1"/>
    </xf>
    <xf numFmtId="0" fontId="30" fillId="0" borderId="0" xfId="0" applyFont="1" applyAlignment="1">
      <alignment vertical="center" wrapText="1"/>
    </xf>
    <xf numFmtId="0" fontId="46" fillId="20" borderId="0" xfId="1" applyFont="1" applyFill="1" applyAlignment="1">
      <alignment horizontal="left" vertical="top" wrapText="1"/>
    </xf>
    <xf numFmtId="0" fontId="1" fillId="0" borderId="0" xfId="1"/>
    <xf numFmtId="0" fontId="47" fillId="18" borderId="0" xfId="1" applyFont="1" applyFill="1" applyAlignment="1">
      <alignment horizontal="center" vertical="center"/>
    </xf>
    <xf numFmtId="0" fontId="44" fillId="18" borderId="0" xfId="1" applyFont="1" applyFill="1" applyAlignment="1">
      <alignment horizontal="left" vertical="center"/>
    </xf>
    <xf numFmtId="0" fontId="41" fillId="18" borderId="0" xfId="1" applyFont="1" applyFill="1" applyAlignment="1">
      <alignment horizontal="left" vertical="center" wrapText="1"/>
    </xf>
    <xf numFmtId="0" fontId="49" fillId="18" borderId="0" xfId="1" applyFont="1" applyFill="1" applyAlignment="1">
      <alignment horizontal="left" vertical="center" wrapText="1"/>
    </xf>
    <xf numFmtId="0" fontId="42" fillId="18" borderId="0" xfId="1" applyFont="1" applyFill="1" applyAlignment="1">
      <alignment horizontal="left" vertical="center" wrapText="1"/>
    </xf>
    <xf numFmtId="0" fontId="43" fillId="19" borderId="0" xfId="1" applyFont="1" applyFill="1" applyAlignment="1">
      <alignment horizontal="left" vertical="center" wrapText="1"/>
    </xf>
    <xf numFmtId="0" fontId="4" fillId="2" borderId="2"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37"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6" borderId="1"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12" fillId="6" borderId="2"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27" fillId="4" borderId="1" xfId="0" applyFont="1" applyFill="1" applyBorder="1" applyAlignment="1">
      <alignment horizontal="left" vertical="center" wrapText="1"/>
    </xf>
    <xf numFmtId="0" fontId="28" fillId="3" borderId="1" xfId="0" applyFont="1" applyFill="1" applyBorder="1" applyAlignment="1">
      <alignment horizontal="center" vertical="center" wrapText="1"/>
    </xf>
    <xf numFmtId="0" fontId="28" fillId="3" borderId="3" xfId="0" applyFont="1" applyFill="1" applyBorder="1" applyAlignment="1">
      <alignment horizontal="center" vertical="center" wrapText="1"/>
    </xf>
    <xf numFmtId="0" fontId="28" fillId="3" borderId="4" xfId="0" applyFont="1" applyFill="1" applyBorder="1" applyAlignment="1">
      <alignment horizontal="center" vertical="center" wrapText="1"/>
    </xf>
    <xf numFmtId="0" fontId="28" fillId="7" borderId="1" xfId="0" applyFont="1" applyFill="1" applyBorder="1" applyAlignment="1">
      <alignment horizontal="center" vertical="center" wrapText="1"/>
    </xf>
    <xf numFmtId="0" fontId="28" fillId="7" borderId="3" xfId="0" applyFont="1" applyFill="1" applyBorder="1" applyAlignment="1">
      <alignment horizontal="center" vertical="center" wrapText="1"/>
    </xf>
    <xf numFmtId="0" fontId="28" fillId="7" borderId="4"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0" xfId="0" applyFont="1" applyFill="1" applyAlignment="1">
      <alignment horizontal="center" vertical="center" wrapText="1"/>
    </xf>
    <xf numFmtId="0" fontId="30" fillId="4" borderId="1" xfId="0" applyFont="1" applyFill="1" applyBorder="1" applyAlignment="1">
      <alignment horizontal="center" vertical="center" wrapText="1"/>
    </xf>
    <xf numFmtId="0" fontId="29" fillId="4" borderId="1" xfId="0" applyFont="1" applyFill="1" applyBorder="1" applyAlignment="1">
      <alignment horizontal="left" vertical="center" wrapText="1"/>
    </xf>
    <xf numFmtId="0" fontId="26" fillId="4" borderId="3" xfId="0" applyFont="1" applyFill="1" applyBorder="1" applyAlignment="1">
      <alignment horizontal="right" vertical="center" wrapText="1"/>
    </xf>
    <xf numFmtId="0" fontId="26" fillId="4" borderId="4" xfId="0" applyFont="1" applyFill="1" applyBorder="1" applyAlignment="1">
      <alignment horizontal="right" vertical="center" wrapText="1"/>
    </xf>
    <xf numFmtId="0" fontId="13" fillId="2" borderId="1" xfId="0" applyFont="1" applyFill="1" applyBorder="1" applyAlignment="1">
      <alignment horizontal="center" vertical="center" wrapText="1"/>
    </xf>
  </cellXfs>
  <cellStyles count="2">
    <cellStyle name="Normal" xfId="0" builtinId="0"/>
    <cellStyle name="Normal 2" xfId="1" xr:uid="{1C9D2BFC-1FAF-4434-B299-57B8E33A16E9}"/>
  </cellStyles>
  <dxfs count="15">
    <dxf>
      <font>
        <b/>
        <sz val="9"/>
        <color rgb="FF9C1F1F"/>
        <name val="Arial"/>
        <charset val="1"/>
      </font>
      <fill>
        <patternFill>
          <bgColor rgb="FFFFC7CE"/>
        </patternFill>
      </fill>
    </dxf>
    <dxf>
      <font>
        <b/>
        <sz val="9"/>
        <color rgb="FF217346"/>
        <name val="Arial"/>
        <charset val="1"/>
      </font>
      <fill>
        <patternFill>
          <bgColor rgb="FFC6EFCE"/>
        </patternFill>
      </fill>
    </dxf>
    <dxf>
      <fill>
        <patternFill>
          <bgColor rgb="FFBDD7EE"/>
        </patternFill>
      </fill>
    </dxf>
    <dxf>
      <font>
        <b/>
        <sz val="9"/>
        <color rgb="FF217346"/>
        <name val="Arial"/>
        <charset val="1"/>
      </font>
      <fill>
        <patternFill>
          <bgColor rgb="FFC6EFCE"/>
        </patternFill>
      </fill>
    </dxf>
    <dxf>
      <font>
        <b/>
        <sz val="9"/>
        <color rgb="FFC45911"/>
        <name val="Arial"/>
        <charset val="1"/>
      </font>
      <fill>
        <patternFill>
          <bgColor rgb="FFFCE4D6"/>
        </patternFill>
      </fill>
    </dxf>
    <dxf>
      <font>
        <b/>
        <sz val="9"/>
        <color rgb="FF9C1F1F"/>
        <name val="Arial"/>
        <charset val="1"/>
      </font>
      <fill>
        <patternFill>
          <bgColor rgb="FFFFC7CE"/>
        </patternFill>
      </fill>
    </dxf>
    <dxf>
      <font>
        <i/>
        <sz val="9"/>
        <color rgb="FF6B8EAA"/>
        <name val="Arial"/>
        <charset val="1"/>
      </font>
      <fill>
        <patternFill>
          <bgColor rgb="FFF2F2F2"/>
        </patternFill>
      </fill>
    </dxf>
    <dxf>
      <font>
        <i/>
        <color rgb="FF6B8EAA"/>
        <name val="Arial"/>
        <charset val="1"/>
      </font>
      <fill>
        <patternFill>
          <bgColor rgb="FFF2F2F2"/>
        </patternFill>
      </fill>
    </dxf>
    <dxf>
      <font>
        <b/>
        <color rgb="FF9C1F1F"/>
        <name val="Arial"/>
        <charset val="1"/>
      </font>
      <fill>
        <patternFill>
          <bgColor rgb="FFFFC7CE"/>
        </patternFill>
      </fill>
    </dxf>
    <dxf>
      <font>
        <b/>
        <color rgb="FF217346"/>
        <name val="Arial"/>
        <charset val="1"/>
      </font>
      <fill>
        <patternFill>
          <bgColor rgb="FFC6EFCE"/>
        </patternFill>
      </fill>
    </dxf>
    <dxf>
      <font>
        <i/>
        <sz val="9"/>
        <color rgb="FF6B8EAA"/>
        <name val="Arial"/>
        <charset val="1"/>
      </font>
      <fill>
        <patternFill>
          <bgColor rgb="FFF2F2F2"/>
        </patternFill>
      </fill>
    </dxf>
    <dxf>
      <font>
        <b/>
        <sz val="9"/>
        <color rgb="FF9C1F1F"/>
        <name val="Arial"/>
        <charset val="1"/>
      </font>
      <fill>
        <patternFill>
          <bgColor rgb="FFFFC7CE"/>
        </patternFill>
      </fill>
    </dxf>
    <dxf>
      <font>
        <b/>
        <sz val="9"/>
        <color rgb="FF217346"/>
        <name val="Arial"/>
        <charset val="1"/>
      </font>
      <fill>
        <patternFill>
          <bgColor rgb="FFC6EFCE"/>
        </patternFill>
      </fill>
    </dxf>
    <dxf>
      <font>
        <i/>
        <sz val="9"/>
        <color rgb="FF6B8EAA"/>
        <name val="Arial"/>
        <charset val="1"/>
      </font>
      <fill>
        <patternFill>
          <bgColor rgb="FFF2F2F2"/>
        </patternFill>
      </fill>
    </dxf>
    <dxf>
      <font>
        <i/>
        <sz val="9"/>
        <color rgb="FF6B8EAA"/>
        <name val="Arial"/>
        <charset val="1"/>
      </font>
      <fill>
        <patternFill>
          <bgColor rgb="FFF2F2F2"/>
        </patternFill>
      </fill>
    </dxf>
  </dxfs>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217346"/>
      <rgbColor rgb="FFB8CCE0"/>
      <rgbColor rgb="FF6B8EAA"/>
      <rgbColor rgb="FFE2EAF2"/>
      <rgbColor rgb="FF7030A0"/>
      <rgbColor rgb="FFFFF2CC"/>
      <rgbColor rgb="FFD6EFE8"/>
      <rgbColor rgb="FF660066"/>
      <rgbColor rgb="FFFF8080"/>
      <rgbColor rgb="FF1A4FBF"/>
      <rgbColor rgb="FFBDD7EE"/>
      <rgbColor rgb="FF000080"/>
      <rgbColor rgb="FFFF00FF"/>
      <rgbColor rgb="FFFFFF00"/>
      <rgbColor rgb="FF00FFFF"/>
      <rgbColor rgb="FF800080"/>
      <rgbColor rgb="FF800000"/>
      <rgbColor rgb="FF3D5A72"/>
      <rgbColor rgb="FF0000FF"/>
      <rgbColor rgb="FF00CCFF"/>
      <rgbColor rgb="FFD6E8F5"/>
      <rgbColor rgb="FFC6EFCE"/>
      <rgbColor rgb="FFFCE4D6"/>
      <rgbColor rgb="FFD6E2ED"/>
      <rgbColor rgb="FFFFE0E0"/>
      <rgbColor rgb="FFEDE7F6"/>
      <rgbColor rgb="FFFFC7CE"/>
      <rgbColor rgb="FF2B6BF5"/>
      <rgbColor rgb="FF33CCCC"/>
      <rgbColor rgb="FF99CC00"/>
      <rgbColor rgb="FFFFCC00"/>
      <rgbColor rgb="FFFF9900"/>
      <rgbColor rgb="FFC45911"/>
      <rgbColor rgb="FF4472C4"/>
      <rgbColor rgb="FF969696"/>
      <rgbColor rgb="FF1C3A54"/>
      <rgbColor rgb="FF339966"/>
      <rgbColor rgb="FF0D2236"/>
      <rgbColor rgb="FF333300"/>
      <rgbColor rgb="FF9C1F1F"/>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F149E-909E-4930-B9FA-39F43C589478}">
  <sheetPr>
    <tabColor rgb="FFF59E0B"/>
  </sheetPr>
  <dimension ref="A1:AA26"/>
  <sheetViews>
    <sheetView showGridLines="0" zoomScale="80" workbookViewId="0">
      <selection activeCell="A50" sqref="A50"/>
    </sheetView>
  </sheetViews>
  <sheetFormatPr defaultRowHeight="14.25" x14ac:dyDescent="0.45"/>
  <cols>
    <col min="1" max="1" width="3" style="52" customWidth="1"/>
    <col min="2" max="2" width="28" style="52" customWidth="1"/>
    <col min="3" max="3" width="75" style="52" customWidth="1"/>
    <col min="4" max="4" width="3" style="52" customWidth="1"/>
    <col min="5" max="27" width="13" style="52" customWidth="1"/>
    <col min="28" max="16384" width="9.06640625" style="52"/>
  </cols>
  <sheetData>
    <row r="1" spans="1:27" ht="1.05" customHeight="1" x14ac:dyDescent="0.45">
      <c r="A1" s="51"/>
      <c r="B1" s="51"/>
      <c r="C1" s="51"/>
      <c r="D1" s="51"/>
      <c r="AA1" s="53" t="s">
        <v>473</v>
      </c>
    </row>
    <row r="2" spans="1:27" ht="28.05" customHeight="1" x14ac:dyDescent="0.45">
      <c r="A2" s="54"/>
      <c r="B2" s="70" t="s">
        <v>474</v>
      </c>
      <c r="C2" s="67"/>
      <c r="D2" s="54"/>
      <c r="AA2" s="62" t="s">
        <v>500</v>
      </c>
    </row>
    <row r="3" spans="1:27" ht="22.05" customHeight="1" x14ac:dyDescent="0.45">
      <c r="A3" s="54"/>
      <c r="B3" s="71" t="s">
        <v>0</v>
      </c>
      <c r="C3" s="67"/>
      <c r="D3" s="54"/>
    </row>
    <row r="4" spans="1:27" ht="19.05" customHeight="1" x14ac:dyDescent="0.45">
      <c r="A4" s="54"/>
      <c r="B4" s="72" t="s">
        <v>492</v>
      </c>
      <c r="C4" s="67"/>
      <c r="D4" s="54"/>
    </row>
    <row r="5" spans="1:27" ht="34.049999999999997" customHeight="1" x14ac:dyDescent="0.45">
      <c r="A5" s="55"/>
      <c r="B5" s="73" t="s">
        <v>486</v>
      </c>
      <c r="C5" s="67"/>
      <c r="D5" s="55"/>
    </row>
    <row r="6" spans="1:27" ht="6" customHeight="1" x14ac:dyDescent="0.45">
      <c r="A6" s="51"/>
      <c r="B6" s="51"/>
      <c r="C6" s="51"/>
      <c r="D6" s="51"/>
    </row>
    <row r="7" spans="1:27" ht="20" customHeight="1" x14ac:dyDescent="0.45">
      <c r="A7" s="54"/>
      <c r="B7" s="69" t="s">
        <v>475</v>
      </c>
      <c r="C7" s="67"/>
      <c r="D7" s="54"/>
    </row>
    <row r="8" spans="1:27" ht="26.25" x14ac:dyDescent="0.45">
      <c r="A8" s="56"/>
      <c r="B8" s="57" t="s">
        <v>476</v>
      </c>
      <c r="C8" s="58" t="s">
        <v>477</v>
      </c>
      <c r="D8" s="56"/>
    </row>
    <row r="9" spans="1:27" ht="52.05" customHeight="1" x14ac:dyDescent="0.45">
      <c r="A9" s="56"/>
      <c r="B9" s="66" t="s">
        <v>501</v>
      </c>
      <c r="C9" s="67"/>
      <c r="D9" s="56"/>
    </row>
    <row r="10" spans="1:27" ht="6" customHeight="1" x14ac:dyDescent="0.45">
      <c r="A10" s="51"/>
      <c r="B10" s="51"/>
      <c r="C10" s="51"/>
      <c r="D10" s="51"/>
    </row>
    <row r="11" spans="1:27" ht="20" customHeight="1" x14ac:dyDescent="0.45">
      <c r="A11" s="54"/>
      <c r="B11" s="69" t="s">
        <v>478</v>
      </c>
      <c r="C11" s="67"/>
      <c r="D11" s="54"/>
    </row>
    <row r="12" spans="1:27" ht="64.05" customHeight="1" x14ac:dyDescent="0.45">
      <c r="A12" s="56"/>
      <c r="B12" s="57" t="s">
        <v>479</v>
      </c>
      <c r="C12" s="58" t="s">
        <v>480</v>
      </c>
      <c r="D12" s="56"/>
    </row>
    <row r="13" spans="1:27" ht="94.05" customHeight="1" x14ac:dyDescent="0.45">
      <c r="A13" s="59"/>
      <c r="B13" s="60" t="s">
        <v>481</v>
      </c>
      <c r="C13" s="61" t="s">
        <v>487</v>
      </c>
      <c r="D13" s="59"/>
    </row>
    <row r="14" spans="1:27" ht="109.05" customHeight="1" x14ac:dyDescent="0.45">
      <c r="A14" s="56"/>
      <c r="B14" s="57" t="s">
        <v>482</v>
      </c>
      <c r="C14" s="58" t="s">
        <v>493</v>
      </c>
      <c r="D14" s="56"/>
    </row>
    <row r="15" spans="1:27" ht="6" customHeight="1" x14ac:dyDescent="0.45">
      <c r="A15" s="51"/>
      <c r="B15" s="51"/>
      <c r="C15" s="51"/>
      <c r="D15" s="51"/>
    </row>
    <row r="16" spans="1:27" ht="20" customHeight="1" x14ac:dyDescent="0.45">
      <c r="A16" s="54"/>
      <c r="B16" s="69" t="s">
        <v>483</v>
      </c>
      <c r="C16" s="67"/>
      <c r="D16" s="54"/>
    </row>
    <row r="17" spans="1:4" ht="45" customHeight="1" x14ac:dyDescent="0.45">
      <c r="A17" s="56"/>
      <c r="B17" s="66" t="s">
        <v>494</v>
      </c>
      <c r="C17" s="67"/>
      <c r="D17" s="56"/>
    </row>
    <row r="18" spans="1:4" ht="94.05" customHeight="1" x14ac:dyDescent="0.45">
      <c r="A18" s="56"/>
      <c r="B18" s="57" t="s">
        <v>489</v>
      </c>
      <c r="C18" s="63" t="s">
        <v>491</v>
      </c>
      <c r="D18" s="56"/>
    </row>
    <row r="19" spans="1:4" ht="6" customHeight="1" x14ac:dyDescent="0.45">
      <c r="A19" s="51"/>
      <c r="B19" s="51"/>
      <c r="C19" s="51"/>
      <c r="D19" s="51"/>
    </row>
    <row r="20" spans="1:4" ht="20" customHeight="1" x14ac:dyDescent="0.45">
      <c r="A20" s="54"/>
      <c r="B20" s="69" t="s">
        <v>484</v>
      </c>
      <c r="C20" s="67"/>
      <c r="D20" s="54"/>
    </row>
    <row r="21" spans="1:4" ht="40.049999999999997" customHeight="1" x14ac:dyDescent="0.45">
      <c r="A21" s="56"/>
      <c r="B21" s="66" t="s">
        <v>495</v>
      </c>
      <c r="C21" s="67"/>
      <c r="D21" s="56"/>
    </row>
    <row r="22" spans="1:4" ht="6" customHeight="1" x14ac:dyDescent="0.45">
      <c r="A22" s="51"/>
      <c r="B22" s="51"/>
      <c r="C22" s="51"/>
      <c r="D22" s="51"/>
    </row>
    <row r="23" spans="1:4" ht="20" customHeight="1" x14ac:dyDescent="0.45">
      <c r="A23" s="54"/>
      <c r="B23" s="69" t="s">
        <v>485</v>
      </c>
      <c r="C23" s="67"/>
      <c r="D23" s="54"/>
    </row>
    <row r="24" spans="1:4" ht="40.049999999999997" customHeight="1" x14ac:dyDescent="0.45">
      <c r="A24" s="56"/>
      <c r="B24" s="66" t="s">
        <v>488</v>
      </c>
      <c r="C24" s="67"/>
      <c r="D24" s="56"/>
    </row>
    <row r="25" spans="1:4" ht="6" customHeight="1" x14ac:dyDescent="0.45">
      <c r="A25" s="51"/>
      <c r="B25" s="51"/>
      <c r="C25" s="51"/>
      <c r="D25" s="51"/>
    </row>
    <row r="26" spans="1:4" ht="34.049999999999997" customHeight="1" x14ac:dyDescent="0.45">
      <c r="A26" s="54"/>
      <c r="B26" s="68" t="s">
        <v>490</v>
      </c>
      <c r="C26" s="67"/>
      <c r="D26" s="54"/>
    </row>
  </sheetData>
  <mergeCells count="14">
    <mergeCell ref="B9:C9"/>
    <mergeCell ref="B2:C2"/>
    <mergeCell ref="B3:C3"/>
    <mergeCell ref="B4:C4"/>
    <mergeCell ref="B5:C5"/>
    <mergeCell ref="B7:C7"/>
    <mergeCell ref="B24:C24"/>
    <mergeCell ref="B26:C26"/>
    <mergeCell ref="B11:C11"/>
    <mergeCell ref="B16:C16"/>
    <mergeCell ref="B17:C17"/>
    <mergeCell ref="B20:C20"/>
    <mergeCell ref="B21:C21"/>
    <mergeCell ref="B23:C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C3A54"/>
  </sheetPr>
  <dimension ref="A1:B15"/>
  <sheetViews>
    <sheetView showGridLines="0" tabSelected="1" zoomScaleNormal="100" workbookViewId="0">
      <selection activeCell="A50" sqref="A50"/>
    </sheetView>
  </sheetViews>
  <sheetFormatPr defaultColWidth="8.6640625" defaultRowHeight="14.25" x14ac:dyDescent="0.45"/>
  <cols>
    <col min="1" max="1" width="32" customWidth="1"/>
    <col min="2" max="2" width="50" customWidth="1"/>
  </cols>
  <sheetData>
    <row r="1" spans="1:2" ht="60" customHeight="1" x14ac:dyDescent="0.45">
      <c r="A1" s="76" t="s">
        <v>0</v>
      </c>
      <c r="B1" s="77"/>
    </row>
    <row r="2" spans="1:2" ht="9.75" customHeight="1" x14ac:dyDescent="0.45"/>
    <row r="3" spans="1:2" ht="24" customHeight="1" x14ac:dyDescent="0.45">
      <c r="A3" s="74" t="s">
        <v>1</v>
      </c>
      <c r="B3" s="74"/>
    </row>
    <row r="4" spans="1:2" ht="19.5" customHeight="1" x14ac:dyDescent="0.45">
      <c r="A4" s="2" t="s">
        <v>2</v>
      </c>
      <c r="B4" s="3" t="s">
        <v>3</v>
      </c>
    </row>
    <row r="5" spans="1:2" ht="19.5" customHeight="1" x14ac:dyDescent="0.45">
      <c r="A5" s="2" t="s">
        <v>4</v>
      </c>
      <c r="B5" s="3" t="s">
        <v>3</v>
      </c>
    </row>
    <row r="6" spans="1:2" ht="19.5" customHeight="1" x14ac:dyDescent="0.45">
      <c r="A6" s="2" t="s">
        <v>5</v>
      </c>
      <c r="B6" s="3" t="s">
        <v>3</v>
      </c>
    </row>
    <row r="7" spans="1:2" ht="26.25" x14ac:dyDescent="0.45">
      <c r="A7" s="2" t="s">
        <v>6</v>
      </c>
      <c r="B7" s="3" t="s">
        <v>3</v>
      </c>
    </row>
    <row r="8" spans="1:2" ht="19.5" customHeight="1" x14ac:dyDescent="0.45">
      <c r="A8" s="2" t="s">
        <v>7</v>
      </c>
      <c r="B8" s="3" t="s">
        <v>3</v>
      </c>
    </row>
    <row r="9" spans="1:2" ht="19.5" customHeight="1" x14ac:dyDescent="0.45">
      <c r="A9" s="2" t="s">
        <v>8</v>
      </c>
      <c r="B9" s="3" t="s">
        <v>499</v>
      </c>
    </row>
    <row r="10" spans="1:2" ht="19.5" customHeight="1" x14ac:dyDescent="0.45">
      <c r="A10" s="2" t="s">
        <v>9</v>
      </c>
      <c r="B10" s="3" t="s">
        <v>502</v>
      </c>
    </row>
    <row r="11" spans="1:2" ht="19.5" customHeight="1" x14ac:dyDescent="0.45">
      <c r="A11" s="2" t="s">
        <v>10</v>
      </c>
      <c r="B11" s="3" t="s">
        <v>11</v>
      </c>
    </row>
    <row r="12" spans="1:2" ht="19.5" customHeight="1" x14ac:dyDescent="0.45">
      <c r="A12" s="2" t="s">
        <v>12</v>
      </c>
      <c r="B12" s="50">
        <v>46174</v>
      </c>
    </row>
    <row r="13" spans="1:2" ht="9.75" customHeight="1" x14ac:dyDescent="0.45"/>
    <row r="14" spans="1:2" ht="15" customHeight="1" x14ac:dyDescent="0.45">
      <c r="A14" s="74" t="s">
        <v>14</v>
      </c>
      <c r="B14" s="74"/>
    </row>
    <row r="15" spans="1:2" ht="79.5" customHeight="1" x14ac:dyDescent="0.45">
      <c r="A15" s="75" t="s">
        <v>15</v>
      </c>
      <c r="B15" s="75"/>
    </row>
  </sheetData>
  <mergeCells count="4">
    <mergeCell ref="A14:B14"/>
    <mergeCell ref="A15:B15"/>
    <mergeCell ref="A1:B1"/>
    <mergeCell ref="A3:B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C42"/>
  <sheetViews>
    <sheetView showGridLines="0" zoomScale="70" zoomScaleNormal="70" workbookViewId="0">
      <selection activeCell="A50" sqref="A50"/>
    </sheetView>
  </sheetViews>
  <sheetFormatPr defaultColWidth="8.6640625" defaultRowHeight="14.25" x14ac:dyDescent="0.45"/>
  <cols>
    <col min="1" max="1" width="20" customWidth="1"/>
    <col min="2" max="2" width="15.9296875" bestFit="1" customWidth="1"/>
    <col min="3" max="3" width="70" customWidth="1"/>
  </cols>
  <sheetData>
    <row r="1" spans="1:3" ht="39.75" customHeight="1" x14ac:dyDescent="0.45">
      <c r="A1" s="78" t="s">
        <v>16</v>
      </c>
      <c r="B1" s="78"/>
      <c r="C1" s="78"/>
    </row>
    <row r="2" spans="1:3" ht="19.5" customHeight="1" x14ac:dyDescent="0.45">
      <c r="A2" s="79" t="s">
        <v>17</v>
      </c>
      <c r="B2" s="79"/>
      <c r="C2" s="79"/>
    </row>
    <row r="3" spans="1:3" ht="60" customHeight="1" x14ac:dyDescent="0.45">
      <c r="A3" s="80" t="s">
        <v>496</v>
      </c>
      <c r="B3" s="80"/>
      <c r="C3" s="80"/>
    </row>
    <row r="5" spans="1:3" ht="19.5" customHeight="1" x14ac:dyDescent="0.45">
      <c r="A5" s="79" t="s">
        <v>18</v>
      </c>
      <c r="B5" s="79"/>
      <c r="C5" s="79"/>
    </row>
    <row r="6" spans="1:3" ht="60" customHeight="1" x14ac:dyDescent="0.45">
      <c r="A6" s="80" t="s">
        <v>19</v>
      </c>
      <c r="B6" s="80"/>
      <c r="C6" s="80"/>
    </row>
    <row r="8" spans="1:3" ht="19.5" customHeight="1" x14ac:dyDescent="0.45">
      <c r="A8" s="79" t="s">
        <v>20</v>
      </c>
      <c r="B8" s="79"/>
      <c r="C8" s="79"/>
    </row>
    <row r="9" spans="1:3" ht="60" customHeight="1" x14ac:dyDescent="0.45">
      <c r="A9" s="80" t="s">
        <v>21</v>
      </c>
      <c r="B9" s="80"/>
      <c r="C9" s="80"/>
    </row>
    <row r="11" spans="1:3" ht="19.5" customHeight="1" x14ac:dyDescent="0.45">
      <c r="A11" s="79" t="s">
        <v>22</v>
      </c>
      <c r="B11" s="79"/>
      <c r="C11" s="79"/>
    </row>
    <row r="12" spans="1:3" ht="60" customHeight="1" x14ac:dyDescent="0.45">
      <c r="A12" s="80" t="s">
        <v>23</v>
      </c>
      <c r="B12" s="80"/>
      <c r="C12" s="80"/>
    </row>
    <row r="14" spans="1:3" ht="19.5" customHeight="1" x14ac:dyDescent="0.45">
      <c r="A14" s="79" t="s">
        <v>24</v>
      </c>
      <c r="B14" s="79"/>
      <c r="C14" s="79"/>
    </row>
    <row r="15" spans="1:3" ht="60" customHeight="1" x14ac:dyDescent="0.45">
      <c r="A15" s="80" t="s">
        <v>25</v>
      </c>
      <c r="B15" s="80"/>
      <c r="C15" s="80"/>
    </row>
    <row r="17" spans="1:3" ht="19.5" customHeight="1" x14ac:dyDescent="0.45">
      <c r="A17" s="79" t="s">
        <v>497</v>
      </c>
      <c r="B17" s="79"/>
      <c r="C17" s="79"/>
    </row>
    <row r="18" spans="1:3" ht="160.9" customHeight="1" x14ac:dyDescent="0.45">
      <c r="A18" s="80" t="s">
        <v>498</v>
      </c>
      <c r="B18" s="80"/>
      <c r="C18" s="80"/>
    </row>
    <row r="20" spans="1:3" ht="19.5" customHeight="1" x14ac:dyDescent="0.45">
      <c r="A20" s="74" t="s">
        <v>26</v>
      </c>
      <c r="B20" s="74"/>
      <c r="C20" s="74"/>
    </row>
    <row r="21" spans="1:3" ht="18" customHeight="1" x14ac:dyDescent="0.45">
      <c r="A21" s="1" t="s">
        <v>27</v>
      </c>
      <c r="B21" s="1" t="s">
        <v>28</v>
      </c>
      <c r="C21" s="1" t="s">
        <v>29</v>
      </c>
    </row>
    <row r="22" spans="1:3" ht="36" customHeight="1" x14ac:dyDescent="0.45">
      <c r="A22" s="4" t="s">
        <v>30</v>
      </c>
      <c r="B22" s="4" t="s">
        <v>31</v>
      </c>
      <c r="C22" s="5" t="s">
        <v>32</v>
      </c>
    </row>
    <row r="23" spans="1:3" ht="36" customHeight="1" x14ac:dyDescent="0.45">
      <c r="A23" s="4" t="s">
        <v>33</v>
      </c>
      <c r="B23" s="4" t="s">
        <v>34</v>
      </c>
      <c r="C23" s="5" t="s">
        <v>35</v>
      </c>
    </row>
    <row r="24" spans="1:3" ht="36" customHeight="1" x14ac:dyDescent="0.45">
      <c r="A24" s="4" t="s">
        <v>36</v>
      </c>
      <c r="B24" s="4" t="s">
        <v>37</v>
      </c>
      <c r="C24" s="5" t="s">
        <v>38</v>
      </c>
    </row>
    <row r="25" spans="1:3" ht="36" customHeight="1" x14ac:dyDescent="0.45">
      <c r="A25" s="4" t="s">
        <v>39</v>
      </c>
      <c r="B25" s="4" t="s">
        <v>40</v>
      </c>
      <c r="C25" s="5" t="s">
        <v>41</v>
      </c>
    </row>
    <row r="26" spans="1:3" ht="36" customHeight="1" x14ac:dyDescent="0.45">
      <c r="A26" s="4" t="s">
        <v>42</v>
      </c>
      <c r="B26" s="4" t="s">
        <v>43</v>
      </c>
      <c r="C26" s="5" t="s">
        <v>44</v>
      </c>
    </row>
    <row r="27" spans="1:3" ht="36" customHeight="1" x14ac:dyDescent="0.45">
      <c r="A27" s="4" t="s">
        <v>45</v>
      </c>
      <c r="B27" s="4" t="s">
        <v>46</v>
      </c>
      <c r="C27" s="5" t="s">
        <v>47</v>
      </c>
    </row>
    <row r="28" spans="1:3" ht="36" customHeight="1" x14ac:dyDescent="0.45">
      <c r="A28" s="4" t="s">
        <v>48</v>
      </c>
      <c r="B28" s="4" t="s">
        <v>49</v>
      </c>
      <c r="C28" s="5" t="s">
        <v>50</v>
      </c>
    </row>
    <row r="29" spans="1:3" ht="36" customHeight="1" x14ac:dyDescent="0.45">
      <c r="A29" s="4" t="s">
        <v>51</v>
      </c>
      <c r="B29" s="4" t="s">
        <v>470</v>
      </c>
      <c r="C29" s="5" t="s">
        <v>471</v>
      </c>
    </row>
    <row r="30" spans="1:3" ht="36" customHeight="1" x14ac:dyDescent="0.45">
      <c r="A30" s="4" t="s">
        <v>52</v>
      </c>
      <c r="B30" s="4" t="s">
        <v>53</v>
      </c>
      <c r="C30" s="5" t="s">
        <v>54</v>
      </c>
    </row>
    <row r="31" spans="1:3" ht="36" customHeight="1" x14ac:dyDescent="0.45">
      <c r="A31" s="4" t="s">
        <v>55</v>
      </c>
      <c r="B31" s="4" t="s">
        <v>56</v>
      </c>
      <c r="C31" s="5" t="s">
        <v>57</v>
      </c>
    </row>
    <row r="32" spans="1:3" ht="36" customHeight="1" x14ac:dyDescent="0.45">
      <c r="A32" s="4" t="s">
        <v>58</v>
      </c>
      <c r="B32" s="4" t="s">
        <v>59</v>
      </c>
      <c r="C32" s="5" t="s">
        <v>60</v>
      </c>
    </row>
    <row r="33" spans="1:3" ht="36" customHeight="1" x14ac:dyDescent="0.45">
      <c r="A33" s="4" t="s">
        <v>61</v>
      </c>
      <c r="B33" s="4" t="s">
        <v>62</v>
      </c>
      <c r="C33" s="5" t="s">
        <v>63</v>
      </c>
    </row>
    <row r="34" spans="1:3" ht="36" customHeight="1" x14ac:dyDescent="0.45">
      <c r="A34" s="4" t="s">
        <v>64</v>
      </c>
      <c r="B34" s="4" t="s">
        <v>65</v>
      </c>
      <c r="C34" s="5" t="s">
        <v>66</v>
      </c>
    </row>
    <row r="35" spans="1:3" ht="36" customHeight="1" x14ac:dyDescent="0.45">
      <c r="A35" s="4" t="s">
        <v>67</v>
      </c>
      <c r="B35" s="4" t="s">
        <v>68</v>
      </c>
      <c r="C35" s="5" t="s">
        <v>69</v>
      </c>
    </row>
    <row r="36" spans="1:3" ht="36" customHeight="1" x14ac:dyDescent="0.45">
      <c r="A36" s="4" t="s">
        <v>70</v>
      </c>
      <c r="B36" s="4" t="s">
        <v>71</v>
      </c>
      <c r="C36" s="5" t="s">
        <v>72</v>
      </c>
    </row>
    <row r="37" spans="1:3" ht="36" customHeight="1" x14ac:dyDescent="0.45">
      <c r="A37" s="4" t="s">
        <v>73</v>
      </c>
      <c r="B37" s="4" t="s">
        <v>74</v>
      </c>
      <c r="C37" s="5" t="s">
        <v>75</v>
      </c>
    </row>
    <row r="38" spans="1:3" ht="36" customHeight="1" x14ac:dyDescent="0.45">
      <c r="A38" s="4" t="s">
        <v>76</v>
      </c>
      <c r="B38" s="4" t="s">
        <v>77</v>
      </c>
      <c r="C38" s="5" t="s">
        <v>78</v>
      </c>
    </row>
    <row r="39" spans="1:3" ht="36" customHeight="1" x14ac:dyDescent="0.45">
      <c r="A39" s="4" t="s">
        <v>79</v>
      </c>
      <c r="B39" s="4" t="s">
        <v>80</v>
      </c>
      <c r="C39" s="5" t="s">
        <v>81</v>
      </c>
    </row>
    <row r="40" spans="1:3" ht="36" customHeight="1" x14ac:dyDescent="0.45">
      <c r="A40" s="4" t="s">
        <v>82</v>
      </c>
      <c r="B40" s="4" t="s">
        <v>83</v>
      </c>
      <c r="C40" s="5" t="s">
        <v>84</v>
      </c>
    </row>
    <row r="41" spans="1:3" ht="36" customHeight="1" x14ac:dyDescent="0.45">
      <c r="A41" s="4" t="s">
        <v>85</v>
      </c>
      <c r="B41" s="4" t="s">
        <v>5</v>
      </c>
      <c r="C41" s="5" t="s">
        <v>86</v>
      </c>
    </row>
    <row r="42" spans="1:3" ht="36" customHeight="1" x14ac:dyDescent="0.45">
      <c r="A42" s="4" t="s">
        <v>87</v>
      </c>
      <c r="B42" s="4" t="s">
        <v>88</v>
      </c>
      <c r="C42" s="5" t="s">
        <v>89</v>
      </c>
    </row>
  </sheetData>
  <mergeCells count="14">
    <mergeCell ref="A15:C15"/>
    <mergeCell ref="A17:C17"/>
    <mergeCell ref="A18:C18"/>
    <mergeCell ref="A20:C20"/>
    <mergeCell ref="A8:C8"/>
    <mergeCell ref="A9:C9"/>
    <mergeCell ref="A11:C11"/>
    <mergeCell ref="A12:C12"/>
    <mergeCell ref="A14:C14"/>
    <mergeCell ref="A1:C1"/>
    <mergeCell ref="A2:C2"/>
    <mergeCell ref="A3:C3"/>
    <mergeCell ref="A5:C5"/>
    <mergeCell ref="A6:C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B39"/>
  <sheetViews>
    <sheetView showGridLines="0" zoomScale="70" zoomScaleNormal="70" workbookViewId="0">
      <selection activeCell="A50" sqref="A50"/>
    </sheetView>
  </sheetViews>
  <sheetFormatPr defaultColWidth="8.6640625" defaultRowHeight="14.25" x14ac:dyDescent="0.45"/>
  <cols>
    <col min="1" max="1" width="40" customWidth="1"/>
    <col min="2" max="2" width="60" customWidth="1"/>
  </cols>
  <sheetData>
    <row r="1" spans="1:2" ht="39.75" customHeight="1" x14ac:dyDescent="0.45">
      <c r="A1" s="82" t="s">
        <v>90</v>
      </c>
      <c r="B1" s="82"/>
    </row>
    <row r="2" spans="1:2" ht="22.35" customHeight="1" x14ac:dyDescent="0.45">
      <c r="A2" s="83" t="s">
        <v>91</v>
      </c>
      <c r="B2" s="83"/>
    </row>
    <row r="4" spans="1:2" ht="21.75" customHeight="1" x14ac:dyDescent="0.45">
      <c r="A4" s="81" t="s">
        <v>464</v>
      </c>
      <c r="B4" s="81"/>
    </row>
    <row r="5" spans="1:2" ht="48" customHeight="1" x14ac:dyDescent="0.45">
      <c r="A5" s="2" t="s">
        <v>92</v>
      </c>
      <c r="B5" s="3"/>
    </row>
    <row r="6" spans="1:2" ht="48" customHeight="1" x14ac:dyDescent="0.45">
      <c r="A6" s="2" t="s">
        <v>93</v>
      </c>
      <c r="B6" s="3"/>
    </row>
    <row r="7" spans="1:2" ht="48" customHeight="1" x14ac:dyDescent="0.45">
      <c r="A7" s="2" t="s">
        <v>94</v>
      </c>
      <c r="B7" s="3"/>
    </row>
    <row r="8" spans="1:2" ht="48" customHeight="1" x14ac:dyDescent="0.45">
      <c r="A8" s="2" t="s">
        <v>95</v>
      </c>
      <c r="B8" s="3"/>
    </row>
    <row r="9" spans="1:2" ht="48" customHeight="1" x14ac:dyDescent="0.45">
      <c r="A9" s="2" t="s">
        <v>96</v>
      </c>
      <c r="B9" s="3"/>
    </row>
    <row r="10" spans="1:2" ht="48" customHeight="1" x14ac:dyDescent="0.45">
      <c r="A10" s="2" t="s">
        <v>97</v>
      </c>
      <c r="B10" s="3"/>
    </row>
    <row r="12" spans="1:2" ht="21.75" customHeight="1" x14ac:dyDescent="0.45">
      <c r="A12" s="81" t="s">
        <v>465</v>
      </c>
      <c r="B12" s="81"/>
    </row>
    <row r="13" spans="1:2" ht="48" customHeight="1" x14ac:dyDescent="0.45">
      <c r="A13" s="2" t="s">
        <v>98</v>
      </c>
      <c r="B13" s="3"/>
    </row>
    <row r="14" spans="1:2" ht="48" customHeight="1" x14ac:dyDescent="0.45">
      <c r="A14" s="2" t="s">
        <v>99</v>
      </c>
      <c r="B14" s="3"/>
    </row>
    <row r="15" spans="1:2" ht="48" customHeight="1" x14ac:dyDescent="0.45">
      <c r="A15" s="2" t="s">
        <v>100</v>
      </c>
      <c r="B15" s="3"/>
    </row>
    <row r="16" spans="1:2" ht="48" customHeight="1" x14ac:dyDescent="0.45">
      <c r="A16" s="2" t="s">
        <v>101</v>
      </c>
      <c r="B16" s="3"/>
    </row>
    <row r="17" spans="1:2" ht="48" customHeight="1" x14ac:dyDescent="0.45">
      <c r="A17" s="2" t="s">
        <v>102</v>
      </c>
      <c r="B17" s="3"/>
    </row>
    <row r="18" spans="1:2" ht="48" customHeight="1" x14ac:dyDescent="0.45">
      <c r="A18" s="2" t="s">
        <v>103</v>
      </c>
      <c r="B18" s="3"/>
    </row>
    <row r="20" spans="1:2" ht="21.75" customHeight="1" x14ac:dyDescent="0.45">
      <c r="A20" s="81" t="s">
        <v>466</v>
      </c>
      <c r="B20" s="81"/>
    </row>
    <row r="21" spans="1:2" ht="48" customHeight="1" x14ac:dyDescent="0.45">
      <c r="A21" s="2" t="s">
        <v>104</v>
      </c>
      <c r="B21" s="3"/>
    </row>
    <row r="22" spans="1:2" ht="48" customHeight="1" x14ac:dyDescent="0.45">
      <c r="A22" s="2" t="s">
        <v>105</v>
      </c>
      <c r="B22" s="3"/>
    </row>
    <row r="23" spans="1:2" ht="48" customHeight="1" x14ac:dyDescent="0.45">
      <c r="A23" s="2" t="s">
        <v>106</v>
      </c>
      <c r="B23" s="3"/>
    </row>
    <row r="25" spans="1:2" ht="21.75" customHeight="1" x14ac:dyDescent="0.45">
      <c r="A25" s="81" t="s">
        <v>467</v>
      </c>
      <c r="B25" s="81"/>
    </row>
    <row r="26" spans="1:2" ht="48" customHeight="1" x14ac:dyDescent="0.45">
      <c r="A26" s="2" t="s">
        <v>107</v>
      </c>
      <c r="B26" s="3"/>
    </row>
    <row r="27" spans="1:2" ht="48" customHeight="1" x14ac:dyDescent="0.45">
      <c r="A27" s="2" t="s">
        <v>108</v>
      </c>
      <c r="B27" s="3"/>
    </row>
    <row r="28" spans="1:2" ht="48" customHeight="1" x14ac:dyDescent="0.45">
      <c r="A28" s="2" t="s">
        <v>109</v>
      </c>
      <c r="B28" s="3"/>
    </row>
    <row r="29" spans="1:2" ht="48" customHeight="1" x14ac:dyDescent="0.45">
      <c r="A29" s="2" t="s">
        <v>110</v>
      </c>
      <c r="B29" s="3"/>
    </row>
    <row r="31" spans="1:2" ht="21.75" customHeight="1" x14ac:dyDescent="0.45">
      <c r="A31" s="81" t="s">
        <v>468</v>
      </c>
      <c r="B31" s="81"/>
    </row>
    <row r="32" spans="1:2" ht="48" customHeight="1" x14ac:dyDescent="0.45">
      <c r="A32" s="47" t="s">
        <v>111</v>
      </c>
      <c r="B32" s="3"/>
    </row>
    <row r="33" spans="1:2" ht="48" customHeight="1" x14ac:dyDescent="0.45">
      <c r="A33" s="2" t="s">
        <v>112</v>
      </c>
      <c r="B33" s="3"/>
    </row>
    <row r="34" spans="1:2" ht="48" customHeight="1" x14ac:dyDescent="0.45">
      <c r="A34" s="2" t="s">
        <v>113</v>
      </c>
      <c r="B34" s="3"/>
    </row>
    <row r="35" spans="1:2" ht="48" customHeight="1" x14ac:dyDescent="0.45">
      <c r="A35" s="2" t="s">
        <v>114</v>
      </c>
      <c r="B35" s="3"/>
    </row>
    <row r="37" spans="1:2" ht="21.75" customHeight="1" x14ac:dyDescent="0.45">
      <c r="A37" s="81" t="s">
        <v>469</v>
      </c>
      <c r="B37" s="81"/>
    </row>
    <row r="38" spans="1:2" ht="48" customHeight="1" x14ac:dyDescent="0.45">
      <c r="A38" s="2" t="s">
        <v>115</v>
      </c>
      <c r="B38" s="3"/>
    </row>
    <row r="39" spans="1:2" ht="48" customHeight="1" x14ac:dyDescent="0.45">
      <c r="A39" s="2" t="s">
        <v>116</v>
      </c>
      <c r="B39" s="3"/>
    </row>
  </sheetData>
  <mergeCells count="8">
    <mergeCell ref="A25:B25"/>
    <mergeCell ref="A31:B31"/>
    <mergeCell ref="A37:B37"/>
    <mergeCell ref="A1:B1"/>
    <mergeCell ref="A2:B2"/>
    <mergeCell ref="A4:B4"/>
    <mergeCell ref="A12:B12"/>
    <mergeCell ref="A20:B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U35"/>
  <sheetViews>
    <sheetView showGridLines="0" zoomScale="70" zoomScaleNormal="70" workbookViewId="0">
      <pane xSplit="5" ySplit="3" topLeftCell="F4" activePane="bottomRight" state="frozen"/>
      <selection pane="topRight" activeCell="F1" sqref="F1"/>
      <selection pane="bottomLeft" activeCell="A4" sqref="A4"/>
      <selection pane="bottomRight" activeCell="A50" sqref="A50"/>
    </sheetView>
  </sheetViews>
  <sheetFormatPr defaultColWidth="8.6640625" defaultRowHeight="14.25" x14ac:dyDescent="0.45"/>
  <cols>
    <col min="1" max="1" width="22" customWidth="1"/>
    <col min="2" max="2" width="11.265625" bestFit="1" customWidth="1"/>
    <col min="3" max="3" width="28" customWidth="1"/>
    <col min="4" max="4" width="32" customWidth="1"/>
    <col min="5" max="5" width="13.19921875" bestFit="1" customWidth="1"/>
    <col min="6" max="6" width="60" customWidth="1"/>
    <col min="7" max="7" width="45" customWidth="1"/>
    <col min="8" max="9" width="40" customWidth="1"/>
    <col min="10" max="10" width="30" customWidth="1"/>
    <col min="11" max="11" width="10.33203125" customWidth="1"/>
    <col min="12" max="12" width="10.796875" customWidth="1"/>
    <col min="13" max="13" width="13.265625" customWidth="1"/>
    <col min="14" max="14" width="14.06640625" customWidth="1"/>
    <col min="15" max="16" width="40" customWidth="1"/>
    <col min="17" max="17" width="28" customWidth="1"/>
    <col min="18" max="18" width="25" customWidth="1"/>
    <col min="19" max="19" width="35" customWidth="1"/>
    <col min="20" max="20" width="18.33203125" bestFit="1" customWidth="1"/>
    <col min="21" max="21" width="20" customWidth="1"/>
  </cols>
  <sheetData>
    <row r="1" spans="1:21" ht="31.5" customHeight="1" x14ac:dyDescent="0.45">
      <c r="A1" s="84" t="s">
        <v>472</v>
      </c>
      <c r="B1" s="84"/>
      <c r="C1" s="84"/>
      <c r="D1" s="84"/>
      <c r="E1" s="84"/>
      <c r="F1" s="84"/>
      <c r="G1" s="84"/>
      <c r="H1" s="84"/>
      <c r="I1" s="84"/>
      <c r="J1" s="84"/>
      <c r="K1" s="84"/>
      <c r="L1" s="84"/>
      <c r="M1" s="84"/>
      <c r="N1" s="84"/>
      <c r="O1" s="84"/>
      <c r="P1" s="84"/>
      <c r="Q1" s="84"/>
      <c r="R1" s="84"/>
      <c r="S1" s="84"/>
      <c r="T1" s="84"/>
      <c r="U1" s="84"/>
    </row>
    <row r="2" spans="1:21" ht="5.25" customHeight="1" x14ac:dyDescent="0.45">
      <c r="A2" s="85"/>
      <c r="B2" s="85"/>
      <c r="C2" s="85"/>
      <c r="D2" s="85"/>
      <c r="E2" s="85"/>
      <c r="F2" s="85"/>
      <c r="G2" s="85"/>
      <c r="H2" s="85"/>
      <c r="I2" s="85"/>
      <c r="J2" s="85"/>
      <c r="K2" s="85"/>
      <c r="L2" s="85"/>
      <c r="M2" s="85"/>
      <c r="N2" s="85"/>
      <c r="O2" s="85"/>
      <c r="P2" s="85"/>
      <c r="Q2" s="85"/>
      <c r="R2" s="85"/>
      <c r="S2" s="85"/>
      <c r="T2" s="85"/>
      <c r="U2" s="85"/>
    </row>
    <row r="3" spans="1:21" ht="36" customHeight="1" x14ac:dyDescent="0.45">
      <c r="A3" s="6" t="s">
        <v>31</v>
      </c>
      <c r="B3" s="6" t="s">
        <v>117</v>
      </c>
      <c r="C3" s="6" t="s">
        <v>37</v>
      </c>
      <c r="D3" s="6" t="s">
        <v>40</v>
      </c>
      <c r="E3" s="6" t="s">
        <v>118</v>
      </c>
      <c r="F3" s="6" t="s">
        <v>119</v>
      </c>
      <c r="G3" s="6" t="s">
        <v>49</v>
      </c>
      <c r="H3" s="6" t="s">
        <v>470</v>
      </c>
      <c r="I3" s="6" t="s">
        <v>53</v>
      </c>
      <c r="J3" s="6" t="s">
        <v>56</v>
      </c>
      <c r="K3" s="6" t="s">
        <v>120</v>
      </c>
      <c r="L3" s="6" t="s">
        <v>121</v>
      </c>
      <c r="M3" s="6" t="s">
        <v>122</v>
      </c>
      <c r="N3" s="6" t="s">
        <v>68</v>
      </c>
      <c r="O3" s="6" t="s">
        <v>71</v>
      </c>
      <c r="P3" s="6" t="s">
        <v>74</v>
      </c>
      <c r="Q3" s="6" t="s">
        <v>123</v>
      </c>
      <c r="R3" s="6" t="s">
        <v>124</v>
      </c>
      <c r="S3" s="6" t="s">
        <v>83</v>
      </c>
      <c r="T3" s="6" t="s">
        <v>5</v>
      </c>
      <c r="U3" s="6" t="s">
        <v>88</v>
      </c>
    </row>
    <row r="4" spans="1:21" ht="60" customHeight="1" x14ac:dyDescent="0.45">
      <c r="A4" s="7" t="s">
        <v>125</v>
      </c>
      <c r="B4" s="7" t="s">
        <v>126</v>
      </c>
      <c r="C4" s="7" t="s">
        <v>127</v>
      </c>
      <c r="D4" s="7" t="s">
        <v>128</v>
      </c>
      <c r="E4" s="7" t="s">
        <v>129</v>
      </c>
      <c r="F4" s="7" t="s">
        <v>130</v>
      </c>
      <c r="G4" s="7" t="s">
        <v>131</v>
      </c>
      <c r="H4" s="7" t="s">
        <v>132</v>
      </c>
      <c r="I4" s="7" t="s">
        <v>133</v>
      </c>
      <c r="J4" s="3"/>
      <c r="K4" s="8">
        <v>1</v>
      </c>
      <c r="L4" s="9" t="str">
        <f>IF(J4="","",IF(J4="YES",1,IF(J4="N/A","N/A",0)))</f>
        <v/>
      </c>
      <c r="M4" s="10">
        <v>1</v>
      </c>
      <c r="N4" s="11" t="str">
        <f t="shared" ref="N4:N35" si="0">IF(J4="","",IF(L4="N/A","N/A",IF(L4=1,"PASS","FAIL")))</f>
        <v/>
      </c>
      <c r="O4" s="3"/>
      <c r="P4" s="7" t="s">
        <v>134</v>
      </c>
      <c r="Q4" s="7" t="s">
        <v>135</v>
      </c>
      <c r="R4" s="3"/>
      <c r="S4" s="3"/>
      <c r="T4" s="3"/>
      <c r="U4" s="3"/>
    </row>
    <row r="5" spans="1:21" ht="60" customHeight="1" x14ac:dyDescent="0.45">
      <c r="A5" s="7" t="s">
        <v>125</v>
      </c>
      <c r="B5" s="7" t="s">
        <v>126</v>
      </c>
      <c r="C5" s="7" t="s">
        <v>136</v>
      </c>
      <c r="D5" s="7" t="s">
        <v>137</v>
      </c>
      <c r="E5" s="7" t="s">
        <v>138</v>
      </c>
      <c r="F5" s="7" t="s">
        <v>139</v>
      </c>
      <c r="G5" s="7" t="s">
        <v>140</v>
      </c>
      <c r="H5" s="7" t="s">
        <v>141</v>
      </c>
      <c r="I5" s="7" t="s">
        <v>142</v>
      </c>
      <c r="J5" s="3"/>
      <c r="K5" s="8">
        <v>1</v>
      </c>
      <c r="L5" s="9" t="str">
        <f>IF(J5="","",IF(J5="YES",1,IF(J5="N/A","N/A",0)))</f>
        <v/>
      </c>
      <c r="M5" s="10">
        <v>1</v>
      </c>
      <c r="N5" s="11" t="str">
        <f t="shared" si="0"/>
        <v/>
      </c>
      <c r="O5" s="3"/>
      <c r="P5" s="7" t="s">
        <v>143</v>
      </c>
      <c r="Q5" s="7" t="s">
        <v>144</v>
      </c>
      <c r="R5" s="3"/>
      <c r="S5" s="3"/>
      <c r="T5" s="3"/>
      <c r="U5" s="3"/>
    </row>
    <row r="6" spans="1:21" ht="60" customHeight="1" x14ac:dyDescent="0.45">
      <c r="A6" s="7" t="s">
        <v>125</v>
      </c>
      <c r="B6" s="7" t="s">
        <v>126</v>
      </c>
      <c r="C6" s="7" t="s">
        <v>145</v>
      </c>
      <c r="D6" s="7" t="s">
        <v>146</v>
      </c>
      <c r="E6" s="7" t="s">
        <v>147</v>
      </c>
      <c r="F6" s="7" t="s">
        <v>148</v>
      </c>
      <c r="G6" s="7" t="s">
        <v>149</v>
      </c>
      <c r="H6" s="7" t="s">
        <v>150</v>
      </c>
      <c r="I6" s="7" t="s">
        <v>151</v>
      </c>
      <c r="J6" s="3"/>
      <c r="K6" s="8">
        <v>1</v>
      </c>
      <c r="L6" s="9" t="str">
        <f>IF(J6="","",IF(J6="YES",1,IF(J6="N/A","N/A",0)))</f>
        <v/>
      </c>
      <c r="M6" s="10">
        <v>1</v>
      </c>
      <c r="N6" s="11" t="str">
        <f t="shared" si="0"/>
        <v/>
      </c>
      <c r="O6" s="3"/>
      <c r="P6" s="7" t="s">
        <v>152</v>
      </c>
      <c r="Q6" s="7" t="s">
        <v>135</v>
      </c>
      <c r="R6" s="3"/>
      <c r="S6" s="3"/>
      <c r="T6" s="3"/>
      <c r="U6" s="3"/>
    </row>
    <row r="7" spans="1:21" ht="60" customHeight="1" x14ac:dyDescent="0.45">
      <c r="A7" s="7" t="s">
        <v>125</v>
      </c>
      <c r="B7" s="7" t="s">
        <v>126</v>
      </c>
      <c r="C7" s="7" t="s">
        <v>153</v>
      </c>
      <c r="D7" s="7" t="s">
        <v>146</v>
      </c>
      <c r="E7" s="7" t="s">
        <v>154</v>
      </c>
      <c r="F7" s="7" t="s">
        <v>155</v>
      </c>
      <c r="G7" s="7" t="s">
        <v>156</v>
      </c>
      <c r="H7" s="7" t="s">
        <v>157</v>
      </c>
      <c r="I7" s="7" t="s">
        <v>158</v>
      </c>
      <c r="J7" s="3"/>
      <c r="K7" s="8">
        <v>1</v>
      </c>
      <c r="L7" s="9" t="str">
        <f>IF(J7="","",IF(J7="N/A - Interface not internet-facing","N/A",IF(J7="None - not implemented",0,1)))</f>
        <v/>
      </c>
      <c r="M7" s="10">
        <v>1</v>
      </c>
      <c r="N7" s="11" t="str">
        <f t="shared" si="0"/>
        <v/>
      </c>
      <c r="O7" s="3"/>
      <c r="P7" s="7" t="s">
        <v>159</v>
      </c>
      <c r="Q7" s="7" t="s">
        <v>135</v>
      </c>
      <c r="R7" s="3"/>
      <c r="S7" s="3"/>
      <c r="T7" s="3"/>
      <c r="U7" s="3"/>
    </row>
    <row r="8" spans="1:21" ht="60" customHeight="1" x14ac:dyDescent="0.45">
      <c r="A8" s="7" t="s">
        <v>125</v>
      </c>
      <c r="B8" s="7" t="s">
        <v>126</v>
      </c>
      <c r="C8" s="7" t="s">
        <v>160</v>
      </c>
      <c r="D8" s="7" t="s">
        <v>161</v>
      </c>
      <c r="E8" s="7" t="s">
        <v>162</v>
      </c>
      <c r="F8" s="7" t="s">
        <v>163</v>
      </c>
      <c r="G8" s="7" t="s">
        <v>164</v>
      </c>
      <c r="H8" s="7" t="s">
        <v>165</v>
      </c>
      <c r="I8" s="7" t="s">
        <v>166</v>
      </c>
      <c r="J8" s="3"/>
      <c r="K8" s="8">
        <v>1</v>
      </c>
      <c r="L8" s="9" t="str">
        <f t="shared" ref="L8:L16" si="1">IF(J8="","",IF(J8="YES",1,IF(J8="N/A","N/A",0)))</f>
        <v/>
      </c>
      <c r="M8" s="10">
        <v>1</v>
      </c>
      <c r="N8" s="11" t="str">
        <f t="shared" si="0"/>
        <v/>
      </c>
      <c r="O8" s="3"/>
      <c r="P8" s="7" t="s">
        <v>167</v>
      </c>
      <c r="Q8" s="7" t="s">
        <v>135</v>
      </c>
      <c r="R8" s="3"/>
      <c r="S8" s="3"/>
      <c r="T8" s="3"/>
      <c r="U8" s="3"/>
    </row>
    <row r="9" spans="1:21" ht="60" customHeight="1" x14ac:dyDescent="0.45">
      <c r="A9" s="7" t="s">
        <v>125</v>
      </c>
      <c r="B9" s="7" t="s">
        <v>126</v>
      </c>
      <c r="C9" s="7" t="s">
        <v>168</v>
      </c>
      <c r="D9" s="7" t="s">
        <v>161</v>
      </c>
      <c r="E9" s="7" t="s">
        <v>169</v>
      </c>
      <c r="F9" s="7" t="s">
        <v>170</v>
      </c>
      <c r="G9" s="7" t="s">
        <v>171</v>
      </c>
      <c r="H9" s="7" t="s">
        <v>172</v>
      </c>
      <c r="I9" s="7" t="s">
        <v>173</v>
      </c>
      <c r="J9" s="3"/>
      <c r="K9" s="8">
        <v>1</v>
      </c>
      <c r="L9" s="9" t="str">
        <f t="shared" si="1"/>
        <v/>
      </c>
      <c r="M9" s="10">
        <v>1</v>
      </c>
      <c r="N9" s="11" t="str">
        <f t="shared" si="0"/>
        <v/>
      </c>
      <c r="O9" s="3"/>
      <c r="P9" s="7" t="s">
        <v>174</v>
      </c>
      <c r="Q9" s="7" t="s">
        <v>135</v>
      </c>
      <c r="R9" s="3"/>
      <c r="S9" s="3"/>
      <c r="T9" s="3"/>
      <c r="U9" s="3"/>
    </row>
    <row r="10" spans="1:21" ht="60" customHeight="1" x14ac:dyDescent="0.45">
      <c r="A10" s="7" t="s">
        <v>125</v>
      </c>
      <c r="B10" s="7" t="s">
        <v>126</v>
      </c>
      <c r="C10" s="7" t="s">
        <v>175</v>
      </c>
      <c r="D10" s="7" t="s">
        <v>161</v>
      </c>
      <c r="E10" s="7" t="s">
        <v>176</v>
      </c>
      <c r="F10" s="7" t="s">
        <v>177</v>
      </c>
      <c r="G10" s="7" t="s">
        <v>178</v>
      </c>
      <c r="H10" s="7" t="s">
        <v>179</v>
      </c>
      <c r="I10" s="7" t="s">
        <v>180</v>
      </c>
      <c r="J10" s="3"/>
      <c r="K10" s="8">
        <v>1</v>
      </c>
      <c r="L10" s="9" t="str">
        <f t="shared" si="1"/>
        <v/>
      </c>
      <c r="M10" s="10">
        <v>1</v>
      </c>
      <c r="N10" s="11" t="str">
        <f t="shared" si="0"/>
        <v/>
      </c>
      <c r="O10" s="3"/>
      <c r="P10" s="7" t="s">
        <v>181</v>
      </c>
      <c r="Q10" s="7" t="s">
        <v>135</v>
      </c>
      <c r="R10" s="3"/>
      <c r="S10" s="3"/>
      <c r="T10" s="3"/>
      <c r="U10" s="3"/>
    </row>
    <row r="11" spans="1:21" ht="60" customHeight="1" x14ac:dyDescent="0.45">
      <c r="A11" s="12" t="s">
        <v>182</v>
      </c>
      <c r="B11" s="12" t="s">
        <v>183</v>
      </c>
      <c r="C11" s="12" t="s">
        <v>184</v>
      </c>
      <c r="D11" s="12" t="s">
        <v>185</v>
      </c>
      <c r="E11" s="12" t="s">
        <v>186</v>
      </c>
      <c r="F11" s="12" t="s">
        <v>187</v>
      </c>
      <c r="G11" s="12" t="s">
        <v>188</v>
      </c>
      <c r="H11" s="12" t="s">
        <v>189</v>
      </c>
      <c r="I11" s="12" t="s">
        <v>190</v>
      </c>
      <c r="J11" s="3"/>
      <c r="K11" s="8">
        <v>1</v>
      </c>
      <c r="L11" s="9" t="str">
        <f t="shared" si="1"/>
        <v/>
      </c>
      <c r="M11" s="10">
        <v>1</v>
      </c>
      <c r="N11" s="11" t="str">
        <f t="shared" si="0"/>
        <v/>
      </c>
      <c r="O11" s="3"/>
      <c r="P11" s="12" t="s">
        <v>191</v>
      </c>
      <c r="Q11" s="12" t="s">
        <v>192</v>
      </c>
      <c r="R11" s="3"/>
      <c r="S11" s="3"/>
      <c r="T11" s="3"/>
      <c r="U11" s="3"/>
    </row>
    <row r="12" spans="1:21" ht="60" customHeight="1" x14ac:dyDescent="0.45">
      <c r="A12" s="12" t="s">
        <v>182</v>
      </c>
      <c r="B12" s="12" t="s">
        <v>183</v>
      </c>
      <c r="C12" s="12" t="s">
        <v>193</v>
      </c>
      <c r="D12" s="12" t="s">
        <v>185</v>
      </c>
      <c r="E12" s="12" t="s">
        <v>194</v>
      </c>
      <c r="F12" s="12" t="s">
        <v>195</v>
      </c>
      <c r="G12" s="12" t="s">
        <v>196</v>
      </c>
      <c r="H12" s="12" t="s">
        <v>197</v>
      </c>
      <c r="I12" s="12" t="s">
        <v>198</v>
      </c>
      <c r="J12" s="3"/>
      <c r="K12" s="8">
        <v>1</v>
      </c>
      <c r="L12" s="9" t="str">
        <f t="shared" si="1"/>
        <v/>
      </c>
      <c r="M12" s="10">
        <v>1</v>
      </c>
      <c r="N12" s="11" t="str">
        <f t="shared" si="0"/>
        <v/>
      </c>
      <c r="O12" s="3"/>
      <c r="P12" s="12" t="s">
        <v>199</v>
      </c>
      <c r="Q12" s="12" t="s">
        <v>192</v>
      </c>
      <c r="R12" s="3"/>
      <c r="S12" s="3"/>
      <c r="T12" s="3"/>
      <c r="U12" s="3"/>
    </row>
    <row r="13" spans="1:21" ht="60" customHeight="1" x14ac:dyDescent="0.45">
      <c r="A13" s="12" t="s">
        <v>182</v>
      </c>
      <c r="B13" s="12" t="s">
        <v>183</v>
      </c>
      <c r="C13" s="12" t="s">
        <v>200</v>
      </c>
      <c r="D13" s="12" t="s">
        <v>185</v>
      </c>
      <c r="E13" s="12" t="s">
        <v>201</v>
      </c>
      <c r="F13" s="12" t="s">
        <v>202</v>
      </c>
      <c r="G13" s="12" t="s">
        <v>203</v>
      </c>
      <c r="H13" s="12" t="s">
        <v>204</v>
      </c>
      <c r="I13" s="12" t="s">
        <v>205</v>
      </c>
      <c r="J13" s="3"/>
      <c r="K13" s="8">
        <v>1</v>
      </c>
      <c r="L13" s="9" t="str">
        <f t="shared" si="1"/>
        <v/>
      </c>
      <c r="M13" s="10">
        <v>1</v>
      </c>
      <c r="N13" s="11" t="str">
        <f t="shared" si="0"/>
        <v/>
      </c>
      <c r="O13" s="3"/>
      <c r="P13" s="12" t="s">
        <v>206</v>
      </c>
      <c r="Q13" s="12" t="s">
        <v>144</v>
      </c>
      <c r="R13" s="3"/>
      <c r="S13" s="3"/>
      <c r="T13" s="3"/>
      <c r="U13" s="3"/>
    </row>
    <row r="14" spans="1:21" ht="60" customHeight="1" x14ac:dyDescent="0.45">
      <c r="A14" s="12" t="s">
        <v>182</v>
      </c>
      <c r="B14" s="12" t="s">
        <v>183</v>
      </c>
      <c r="C14" s="12" t="s">
        <v>207</v>
      </c>
      <c r="D14" s="12" t="s">
        <v>208</v>
      </c>
      <c r="E14" s="12" t="s">
        <v>209</v>
      </c>
      <c r="F14" s="12" t="s">
        <v>210</v>
      </c>
      <c r="G14" s="12" t="s">
        <v>211</v>
      </c>
      <c r="H14" s="12" t="s">
        <v>212</v>
      </c>
      <c r="I14" s="12" t="s">
        <v>213</v>
      </c>
      <c r="J14" s="3"/>
      <c r="K14" s="8">
        <v>1</v>
      </c>
      <c r="L14" s="9" t="str">
        <f t="shared" si="1"/>
        <v/>
      </c>
      <c r="M14" s="10">
        <v>1</v>
      </c>
      <c r="N14" s="11" t="str">
        <f t="shared" si="0"/>
        <v/>
      </c>
      <c r="O14" s="3"/>
      <c r="P14" s="12" t="s">
        <v>214</v>
      </c>
      <c r="Q14" s="12" t="s">
        <v>144</v>
      </c>
      <c r="R14" s="3"/>
      <c r="S14" s="3"/>
      <c r="T14" s="3"/>
      <c r="U14" s="3"/>
    </row>
    <row r="15" spans="1:21" ht="60" customHeight="1" x14ac:dyDescent="0.45">
      <c r="A15" s="12" t="s">
        <v>182</v>
      </c>
      <c r="B15" s="12" t="s">
        <v>183</v>
      </c>
      <c r="C15" s="12" t="s">
        <v>215</v>
      </c>
      <c r="D15" s="12" t="s">
        <v>185</v>
      </c>
      <c r="E15" s="12" t="s">
        <v>216</v>
      </c>
      <c r="F15" s="12" t="s">
        <v>217</v>
      </c>
      <c r="G15" s="12" t="s">
        <v>218</v>
      </c>
      <c r="H15" s="12" t="s">
        <v>219</v>
      </c>
      <c r="I15" s="12" t="s">
        <v>220</v>
      </c>
      <c r="J15" s="3"/>
      <c r="K15" s="8">
        <v>1</v>
      </c>
      <c r="L15" s="9" t="str">
        <f t="shared" si="1"/>
        <v/>
      </c>
      <c r="M15" s="10">
        <v>1</v>
      </c>
      <c r="N15" s="11" t="str">
        <f t="shared" si="0"/>
        <v/>
      </c>
      <c r="O15" s="3"/>
      <c r="P15" s="12" t="s">
        <v>221</v>
      </c>
      <c r="Q15" s="12" t="s">
        <v>192</v>
      </c>
      <c r="R15" s="3"/>
      <c r="S15" s="3"/>
      <c r="T15" s="3"/>
      <c r="U15" s="3"/>
    </row>
    <row r="16" spans="1:21" ht="60" customHeight="1" x14ac:dyDescent="0.45">
      <c r="A16" s="12" t="s">
        <v>182</v>
      </c>
      <c r="B16" s="12" t="s">
        <v>183</v>
      </c>
      <c r="C16" s="12" t="s">
        <v>222</v>
      </c>
      <c r="D16" s="12" t="s">
        <v>223</v>
      </c>
      <c r="E16" s="12" t="s">
        <v>224</v>
      </c>
      <c r="F16" s="12" t="s">
        <v>225</v>
      </c>
      <c r="G16" s="12" t="s">
        <v>226</v>
      </c>
      <c r="H16" s="12" t="s">
        <v>227</v>
      </c>
      <c r="I16" s="12" t="s">
        <v>228</v>
      </c>
      <c r="J16" s="3"/>
      <c r="K16" s="8">
        <v>1</v>
      </c>
      <c r="L16" s="9" t="str">
        <f t="shared" si="1"/>
        <v/>
      </c>
      <c r="M16" s="10">
        <v>1</v>
      </c>
      <c r="N16" s="11" t="str">
        <f t="shared" si="0"/>
        <v/>
      </c>
      <c r="O16" s="3"/>
      <c r="P16" s="12" t="s">
        <v>229</v>
      </c>
      <c r="Q16" s="12" t="s">
        <v>144</v>
      </c>
      <c r="R16" s="3"/>
      <c r="S16" s="3"/>
      <c r="T16" s="3"/>
      <c r="U16" s="3"/>
    </row>
    <row r="17" spans="1:21" ht="60" customHeight="1" x14ac:dyDescent="0.45">
      <c r="A17" s="12" t="s">
        <v>182</v>
      </c>
      <c r="B17" s="12" t="s">
        <v>183</v>
      </c>
      <c r="C17" s="12" t="s">
        <v>230</v>
      </c>
      <c r="D17" s="12" t="s">
        <v>231</v>
      </c>
      <c r="E17" s="12" t="s">
        <v>232</v>
      </c>
      <c r="F17" s="12" t="s">
        <v>233</v>
      </c>
      <c r="G17" s="12" t="s">
        <v>234</v>
      </c>
      <c r="H17" s="12" t="s">
        <v>235</v>
      </c>
      <c r="I17" s="12" t="s">
        <v>236</v>
      </c>
      <c r="J17" s="3"/>
      <c r="K17" s="8">
        <v>1</v>
      </c>
      <c r="L17" s="9" t="str">
        <f>IF(J17="","",IF(J17="None - not implemented",0,1))</f>
        <v/>
      </c>
      <c r="M17" s="10">
        <v>1</v>
      </c>
      <c r="N17" s="11" t="str">
        <f t="shared" si="0"/>
        <v/>
      </c>
      <c r="O17" s="3"/>
      <c r="P17" s="12" t="s">
        <v>237</v>
      </c>
      <c r="Q17" s="12" t="s">
        <v>144</v>
      </c>
      <c r="R17" s="3"/>
      <c r="S17" s="3"/>
      <c r="T17" s="3"/>
      <c r="U17" s="3"/>
    </row>
    <row r="18" spans="1:21" ht="60" customHeight="1" x14ac:dyDescent="0.45">
      <c r="A18" s="12" t="s">
        <v>182</v>
      </c>
      <c r="B18" s="12" t="s">
        <v>183</v>
      </c>
      <c r="C18" s="12" t="s">
        <v>238</v>
      </c>
      <c r="D18" s="12" t="s">
        <v>231</v>
      </c>
      <c r="E18" s="12" t="s">
        <v>239</v>
      </c>
      <c r="F18" s="12" t="s">
        <v>240</v>
      </c>
      <c r="G18" s="12" t="s">
        <v>241</v>
      </c>
      <c r="H18" s="12" t="s">
        <v>242</v>
      </c>
      <c r="I18" s="12" t="s">
        <v>243</v>
      </c>
      <c r="J18" s="3"/>
      <c r="K18" s="8">
        <v>1</v>
      </c>
      <c r="L18" s="9" t="str">
        <f t="shared" ref="L18:L28" si="2">IF(J18="","",IF(J18="YES",1,IF(J18="N/A","N/A",0)))</f>
        <v/>
      </c>
      <c r="M18" s="10">
        <v>1</v>
      </c>
      <c r="N18" s="11" t="str">
        <f t="shared" si="0"/>
        <v/>
      </c>
      <c r="O18" s="3"/>
      <c r="P18" s="12" t="s">
        <v>244</v>
      </c>
      <c r="Q18" s="12" t="s">
        <v>144</v>
      </c>
      <c r="R18" s="3"/>
      <c r="S18" s="3"/>
      <c r="T18" s="3"/>
      <c r="U18" s="3"/>
    </row>
    <row r="19" spans="1:21" ht="60" customHeight="1" x14ac:dyDescent="0.45">
      <c r="A19" s="13" t="s">
        <v>245</v>
      </c>
      <c r="B19" s="13" t="s">
        <v>246</v>
      </c>
      <c r="C19" s="13" t="s">
        <v>247</v>
      </c>
      <c r="D19" s="13" t="s">
        <v>248</v>
      </c>
      <c r="E19" s="13" t="s">
        <v>249</v>
      </c>
      <c r="F19" s="13" t="s">
        <v>250</v>
      </c>
      <c r="G19" s="13" t="s">
        <v>251</v>
      </c>
      <c r="H19" s="13" t="s">
        <v>252</v>
      </c>
      <c r="I19" s="13" t="s">
        <v>253</v>
      </c>
      <c r="J19" s="3"/>
      <c r="K19" s="8">
        <v>1</v>
      </c>
      <c r="L19" s="9" t="str">
        <f t="shared" si="2"/>
        <v/>
      </c>
      <c r="M19" s="10">
        <v>1</v>
      </c>
      <c r="N19" s="11" t="str">
        <f t="shared" si="0"/>
        <v/>
      </c>
      <c r="O19" s="3"/>
      <c r="P19" s="13" t="s">
        <v>254</v>
      </c>
      <c r="Q19" s="13" t="s">
        <v>255</v>
      </c>
      <c r="R19" s="3"/>
      <c r="S19" s="3"/>
      <c r="T19" s="3"/>
      <c r="U19" s="3"/>
    </row>
    <row r="20" spans="1:21" ht="60" customHeight="1" x14ac:dyDescent="0.45">
      <c r="A20" s="13" t="s">
        <v>245</v>
      </c>
      <c r="B20" s="13" t="s">
        <v>246</v>
      </c>
      <c r="C20" s="13" t="s">
        <v>256</v>
      </c>
      <c r="D20" s="13" t="s">
        <v>248</v>
      </c>
      <c r="E20" s="13" t="s">
        <v>257</v>
      </c>
      <c r="F20" s="13" t="s">
        <v>258</v>
      </c>
      <c r="G20" s="13" t="s">
        <v>259</v>
      </c>
      <c r="H20" s="13" t="s">
        <v>260</v>
      </c>
      <c r="I20" s="13" t="s">
        <v>261</v>
      </c>
      <c r="J20" s="3"/>
      <c r="K20" s="8">
        <v>1</v>
      </c>
      <c r="L20" s="9" t="str">
        <f t="shared" si="2"/>
        <v/>
      </c>
      <c r="M20" s="10">
        <v>1</v>
      </c>
      <c r="N20" s="11" t="str">
        <f t="shared" si="0"/>
        <v/>
      </c>
      <c r="O20" s="3"/>
      <c r="P20" s="13" t="s">
        <v>262</v>
      </c>
      <c r="Q20" s="13" t="s">
        <v>255</v>
      </c>
      <c r="R20" s="3"/>
      <c r="S20" s="3"/>
      <c r="T20" s="3"/>
      <c r="U20" s="3"/>
    </row>
    <row r="21" spans="1:21" ht="60" customHeight="1" x14ac:dyDescent="0.45">
      <c r="A21" s="13" t="s">
        <v>245</v>
      </c>
      <c r="B21" s="13" t="s">
        <v>246</v>
      </c>
      <c r="C21" s="13" t="s">
        <v>263</v>
      </c>
      <c r="D21" s="13" t="s">
        <v>248</v>
      </c>
      <c r="E21" s="13" t="s">
        <v>264</v>
      </c>
      <c r="F21" s="13" t="s">
        <v>265</v>
      </c>
      <c r="G21" s="13" t="s">
        <v>266</v>
      </c>
      <c r="H21" s="13" t="s">
        <v>267</v>
      </c>
      <c r="I21" s="13" t="s">
        <v>268</v>
      </c>
      <c r="J21" s="3"/>
      <c r="K21" s="8">
        <v>1</v>
      </c>
      <c r="L21" s="9" t="str">
        <f t="shared" si="2"/>
        <v/>
      </c>
      <c r="M21" s="10">
        <v>1</v>
      </c>
      <c r="N21" s="11" t="str">
        <f t="shared" si="0"/>
        <v/>
      </c>
      <c r="O21" s="3"/>
      <c r="P21" s="13" t="s">
        <v>269</v>
      </c>
      <c r="Q21" s="13" t="s">
        <v>270</v>
      </c>
      <c r="R21" s="3"/>
      <c r="S21" s="3"/>
      <c r="T21" s="3"/>
      <c r="U21" s="3"/>
    </row>
    <row r="22" spans="1:21" ht="60" customHeight="1" x14ac:dyDescent="0.45">
      <c r="A22" s="13" t="s">
        <v>245</v>
      </c>
      <c r="B22" s="13" t="s">
        <v>246</v>
      </c>
      <c r="C22" s="13" t="s">
        <v>271</v>
      </c>
      <c r="D22" s="13" t="s">
        <v>248</v>
      </c>
      <c r="E22" s="13" t="s">
        <v>272</v>
      </c>
      <c r="F22" s="13" t="s">
        <v>273</v>
      </c>
      <c r="G22" s="13" t="s">
        <v>274</v>
      </c>
      <c r="H22" s="13" t="s">
        <v>275</v>
      </c>
      <c r="I22" s="13" t="s">
        <v>276</v>
      </c>
      <c r="J22" s="3"/>
      <c r="K22" s="8">
        <v>1</v>
      </c>
      <c r="L22" s="9" t="str">
        <f t="shared" si="2"/>
        <v/>
      </c>
      <c r="M22" s="10">
        <v>1</v>
      </c>
      <c r="N22" s="11" t="str">
        <f t="shared" si="0"/>
        <v/>
      </c>
      <c r="O22" s="3"/>
      <c r="P22" s="13" t="s">
        <v>277</v>
      </c>
      <c r="Q22" s="13" t="s">
        <v>270</v>
      </c>
      <c r="R22" s="3"/>
      <c r="S22" s="3"/>
      <c r="T22" s="3"/>
      <c r="U22" s="3"/>
    </row>
    <row r="23" spans="1:21" ht="60" customHeight="1" x14ac:dyDescent="0.45">
      <c r="A23" s="14" t="s">
        <v>278</v>
      </c>
      <c r="B23" s="14" t="s">
        <v>279</v>
      </c>
      <c r="C23" s="14" t="s">
        <v>280</v>
      </c>
      <c r="D23" s="14" t="s">
        <v>281</v>
      </c>
      <c r="E23" s="14" t="s">
        <v>282</v>
      </c>
      <c r="F23" s="14" t="s">
        <v>283</v>
      </c>
      <c r="G23" s="14" t="s">
        <v>284</v>
      </c>
      <c r="H23" s="14" t="s">
        <v>285</v>
      </c>
      <c r="I23" s="14" t="s">
        <v>286</v>
      </c>
      <c r="J23" s="3"/>
      <c r="K23" s="8">
        <v>1</v>
      </c>
      <c r="L23" s="9" t="str">
        <f t="shared" si="2"/>
        <v/>
      </c>
      <c r="M23" s="10">
        <v>1</v>
      </c>
      <c r="N23" s="11" t="str">
        <f t="shared" si="0"/>
        <v/>
      </c>
      <c r="O23" s="3"/>
      <c r="P23" s="14" t="s">
        <v>287</v>
      </c>
      <c r="Q23" s="14" t="s">
        <v>192</v>
      </c>
      <c r="R23" s="3"/>
      <c r="S23" s="3"/>
      <c r="T23" s="3"/>
      <c r="U23" s="3"/>
    </row>
    <row r="24" spans="1:21" ht="60" customHeight="1" x14ac:dyDescent="0.45">
      <c r="A24" s="14" t="s">
        <v>278</v>
      </c>
      <c r="B24" s="14" t="s">
        <v>279</v>
      </c>
      <c r="C24" s="14" t="s">
        <v>288</v>
      </c>
      <c r="D24" s="14" t="s">
        <v>281</v>
      </c>
      <c r="E24" s="14" t="s">
        <v>289</v>
      </c>
      <c r="F24" s="14" t="s">
        <v>290</v>
      </c>
      <c r="G24" s="14" t="s">
        <v>291</v>
      </c>
      <c r="H24" s="14" t="s">
        <v>292</v>
      </c>
      <c r="I24" s="14" t="s">
        <v>293</v>
      </c>
      <c r="J24" s="3"/>
      <c r="K24" s="8">
        <v>1</v>
      </c>
      <c r="L24" s="9" t="str">
        <f t="shared" si="2"/>
        <v/>
      </c>
      <c r="M24" s="10">
        <v>1</v>
      </c>
      <c r="N24" s="11" t="str">
        <f t="shared" si="0"/>
        <v/>
      </c>
      <c r="O24" s="3"/>
      <c r="P24" s="14" t="s">
        <v>294</v>
      </c>
      <c r="Q24" s="14" t="s">
        <v>192</v>
      </c>
      <c r="R24" s="3"/>
      <c r="S24" s="3"/>
      <c r="T24" s="3"/>
      <c r="U24" s="3"/>
    </row>
    <row r="25" spans="1:21" ht="60" customHeight="1" x14ac:dyDescent="0.45">
      <c r="A25" s="14" t="s">
        <v>278</v>
      </c>
      <c r="B25" s="14" t="s">
        <v>279</v>
      </c>
      <c r="C25" s="14" t="s">
        <v>295</v>
      </c>
      <c r="D25" s="14" t="s">
        <v>281</v>
      </c>
      <c r="E25" s="14" t="s">
        <v>296</v>
      </c>
      <c r="F25" s="14" t="s">
        <v>297</v>
      </c>
      <c r="G25" s="14" t="s">
        <v>298</v>
      </c>
      <c r="H25" s="14" t="s">
        <v>299</v>
      </c>
      <c r="I25" s="14" t="s">
        <v>300</v>
      </c>
      <c r="J25" s="3"/>
      <c r="K25" s="8">
        <v>1</v>
      </c>
      <c r="L25" s="9" t="str">
        <f t="shared" si="2"/>
        <v/>
      </c>
      <c r="M25" s="10">
        <v>1</v>
      </c>
      <c r="N25" s="11" t="str">
        <f t="shared" si="0"/>
        <v/>
      </c>
      <c r="O25" s="3"/>
      <c r="P25" s="14" t="s">
        <v>301</v>
      </c>
      <c r="Q25" s="14" t="s">
        <v>192</v>
      </c>
      <c r="R25" s="3"/>
      <c r="S25" s="3"/>
      <c r="T25" s="3"/>
      <c r="U25" s="3"/>
    </row>
    <row r="26" spans="1:21" ht="60" customHeight="1" x14ac:dyDescent="0.45">
      <c r="A26" s="14" t="s">
        <v>278</v>
      </c>
      <c r="B26" s="14" t="s">
        <v>279</v>
      </c>
      <c r="C26" s="14" t="s">
        <v>302</v>
      </c>
      <c r="D26" s="14" t="s">
        <v>281</v>
      </c>
      <c r="E26" s="14" t="s">
        <v>303</v>
      </c>
      <c r="F26" s="14" t="s">
        <v>304</v>
      </c>
      <c r="G26" s="14" t="s">
        <v>305</v>
      </c>
      <c r="H26" s="14" t="s">
        <v>306</v>
      </c>
      <c r="I26" s="14" t="s">
        <v>307</v>
      </c>
      <c r="J26" s="3"/>
      <c r="K26" s="8">
        <v>1</v>
      </c>
      <c r="L26" s="9" t="str">
        <f t="shared" si="2"/>
        <v/>
      </c>
      <c r="M26" s="10">
        <v>1</v>
      </c>
      <c r="N26" s="11" t="str">
        <f t="shared" si="0"/>
        <v/>
      </c>
      <c r="O26" s="3"/>
      <c r="P26" s="14" t="s">
        <v>308</v>
      </c>
      <c r="Q26" s="14" t="s">
        <v>192</v>
      </c>
      <c r="R26" s="3"/>
      <c r="S26" s="3"/>
      <c r="T26" s="3"/>
      <c r="U26" s="3"/>
    </row>
    <row r="27" spans="1:21" ht="60" customHeight="1" x14ac:dyDescent="0.45">
      <c r="A27" s="14" t="s">
        <v>278</v>
      </c>
      <c r="B27" s="14" t="s">
        <v>279</v>
      </c>
      <c r="C27" s="14" t="s">
        <v>309</v>
      </c>
      <c r="D27" s="14" t="s">
        <v>310</v>
      </c>
      <c r="E27" s="14" t="s">
        <v>311</v>
      </c>
      <c r="F27" s="14" t="s">
        <v>312</v>
      </c>
      <c r="G27" s="14" t="s">
        <v>313</v>
      </c>
      <c r="H27" s="14" t="s">
        <v>314</v>
      </c>
      <c r="I27" s="14" t="s">
        <v>315</v>
      </c>
      <c r="J27" s="3"/>
      <c r="K27" s="8">
        <v>1</v>
      </c>
      <c r="L27" s="9" t="str">
        <f t="shared" si="2"/>
        <v/>
      </c>
      <c r="M27" s="10">
        <v>1</v>
      </c>
      <c r="N27" s="11" t="str">
        <f t="shared" si="0"/>
        <v/>
      </c>
      <c r="O27" s="3"/>
      <c r="P27" s="14" t="s">
        <v>316</v>
      </c>
      <c r="Q27" s="14" t="s">
        <v>192</v>
      </c>
      <c r="R27" s="3"/>
      <c r="S27" s="3"/>
      <c r="T27" s="3"/>
      <c r="U27" s="3"/>
    </row>
    <row r="28" spans="1:21" ht="60" customHeight="1" x14ac:dyDescent="0.45">
      <c r="A28" s="14" t="s">
        <v>278</v>
      </c>
      <c r="B28" s="14" t="s">
        <v>279</v>
      </c>
      <c r="C28" s="14" t="s">
        <v>317</v>
      </c>
      <c r="D28" s="14" t="s">
        <v>281</v>
      </c>
      <c r="E28" s="14" t="s">
        <v>318</v>
      </c>
      <c r="F28" s="14" t="s">
        <v>319</v>
      </c>
      <c r="G28" s="14" t="s">
        <v>320</v>
      </c>
      <c r="H28" s="14" t="s">
        <v>321</v>
      </c>
      <c r="I28" s="14" t="s">
        <v>322</v>
      </c>
      <c r="J28" s="3"/>
      <c r="K28" s="8">
        <v>1</v>
      </c>
      <c r="L28" s="9" t="str">
        <f t="shared" si="2"/>
        <v/>
      </c>
      <c r="M28" s="10">
        <v>1</v>
      </c>
      <c r="N28" s="11" t="str">
        <f t="shared" si="0"/>
        <v/>
      </c>
      <c r="O28" s="3"/>
      <c r="P28" s="14" t="s">
        <v>323</v>
      </c>
      <c r="Q28" s="14" t="s">
        <v>192</v>
      </c>
      <c r="R28" s="3"/>
      <c r="S28" s="3"/>
      <c r="T28" s="3"/>
      <c r="U28" s="3"/>
    </row>
    <row r="29" spans="1:21" ht="60" customHeight="1" x14ac:dyDescent="0.45">
      <c r="A29" s="14" t="s">
        <v>278</v>
      </c>
      <c r="B29" s="14" t="s">
        <v>324</v>
      </c>
      <c r="C29" s="14" t="s">
        <v>325</v>
      </c>
      <c r="D29" s="14" t="s">
        <v>281</v>
      </c>
      <c r="E29" s="14" t="s">
        <v>326</v>
      </c>
      <c r="F29" s="14" t="s">
        <v>327</v>
      </c>
      <c r="G29" s="14" t="s">
        <v>328</v>
      </c>
      <c r="H29" s="14" t="s">
        <v>329</v>
      </c>
      <c r="I29" s="14" t="s">
        <v>330</v>
      </c>
      <c r="J29" s="3"/>
      <c r="K29" s="8">
        <v>1</v>
      </c>
      <c r="L29" s="9" t="str">
        <f>IF(J29="","",IF(J29="None - not implemented",0,1))</f>
        <v/>
      </c>
      <c r="M29" s="10">
        <v>1</v>
      </c>
      <c r="N29" s="11" t="str">
        <f t="shared" si="0"/>
        <v/>
      </c>
      <c r="O29" s="3"/>
      <c r="P29" s="14" t="s">
        <v>331</v>
      </c>
      <c r="Q29" s="14" t="s">
        <v>192</v>
      </c>
      <c r="R29" s="3"/>
      <c r="S29" s="3"/>
      <c r="T29" s="3"/>
      <c r="U29" s="3"/>
    </row>
    <row r="30" spans="1:21" ht="60" customHeight="1" x14ac:dyDescent="0.45">
      <c r="A30" s="14" t="s">
        <v>278</v>
      </c>
      <c r="B30" s="14" t="s">
        <v>324</v>
      </c>
      <c r="C30" s="14" t="s">
        <v>332</v>
      </c>
      <c r="D30" s="14" t="s">
        <v>281</v>
      </c>
      <c r="E30" s="14" t="s">
        <v>333</v>
      </c>
      <c r="F30" s="14" t="s">
        <v>334</v>
      </c>
      <c r="G30" s="14" t="s">
        <v>335</v>
      </c>
      <c r="H30" s="14" t="s">
        <v>336</v>
      </c>
      <c r="I30" s="14" t="s">
        <v>337</v>
      </c>
      <c r="J30" s="3"/>
      <c r="K30" s="8">
        <v>1</v>
      </c>
      <c r="L30" s="9" t="str">
        <f>IF(J30="","",IF(J30="None - not implemented",0,1))</f>
        <v/>
      </c>
      <c r="M30" s="10">
        <v>1</v>
      </c>
      <c r="N30" s="11" t="str">
        <f t="shared" si="0"/>
        <v/>
      </c>
      <c r="O30" s="3"/>
      <c r="P30" s="14" t="s">
        <v>338</v>
      </c>
      <c r="Q30" s="14" t="s">
        <v>192</v>
      </c>
      <c r="R30" s="3"/>
      <c r="S30" s="3"/>
      <c r="T30" s="3"/>
      <c r="U30" s="3"/>
    </row>
    <row r="31" spans="1:21" ht="60" customHeight="1" x14ac:dyDescent="0.45">
      <c r="A31" s="14" t="s">
        <v>278</v>
      </c>
      <c r="B31" s="14" t="s">
        <v>324</v>
      </c>
      <c r="C31" s="14" t="s">
        <v>339</v>
      </c>
      <c r="D31" s="14" t="s">
        <v>340</v>
      </c>
      <c r="E31" s="14" t="s">
        <v>341</v>
      </c>
      <c r="F31" s="14" t="s">
        <v>342</v>
      </c>
      <c r="G31" s="14" t="s">
        <v>343</v>
      </c>
      <c r="H31" s="14" t="s">
        <v>344</v>
      </c>
      <c r="I31" s="14" t="s">
        <v>345</v>
      </c>
      <c r="J31" s="3"/>
      <c r="K31" s="8">
        <v>1</v>
      </c>
      <c r="L31" s="9" t="str">
        <f>IF(J31="","",IF(J31="YES",1,IF(J31="N/A","N/A",0)))</f>
        <v/>
      </c>
      <c r="M31" s="10">
        <v>1</v>
      </c>
      <c r="N31" s="11" t="str">
        <f t="shared" si="0"/>
        <v/>
      </c>
      <c r="O31" s="3"/>
      <c r="P31" s="14" t="s">
        <v>346</v>
      </c>
      <c r="Q31" s="14" t="s">
        <v>192</v>
      </c>
      <c r="R31" s="3"/>
      <c r="S31" s="3"/>
      <c r="T31" s="3"/>
      <c r="U31" s="3"/>
    </row>
    <row r="32" spans="1:21" ht="60" customHeight="1" x14ac:dyDescent="0.45">
      <c r="A32" s="14" t="s">
        <v>278</v>
      </c>
      <c r="B32" s="14" t="s">
        <v>324</v>
      </c>
      <c r="C32" s="14" t="s">
        <v>347</v>
      </c>
      <c r="D32" s="14" t="s">
        <v>340</v>
      </c>
      <c r="E32" s="14" t="s">
        <v>348</v>
      </c>
      <c r="F32" s="14" t="s">
        <v>349</v>
      </c>
      <c r="G32" s="14" t="s">
        <v>350</v>
      </c>
      <c r="H32" s="14" t="s">
        <v>351</v>
      </c>
      <c r="I32" s="14" t="s">
        <v>352</v>
      </c>
      <c r="J32" s="3"/>
      <c r="K32" s="8">
        <v>1</v>
      </c>
      <c r="L32" s="9" t="str">
        <f>IF(J32="","",IF(J32="YES",1,IF(J32="N/A","N/A",0)))</f>
        <v/>
      </c>
      <c r="M32" s="10">
        <v>1</v>
      </c>
      <c r="N32" s="11" t="str">
        <f t="shared" si="0"/>
        <v/>
      </c>
      <c r="O32" s="3"/>
      <c r="P32" s="14" t="s">
        <v>353</v>
      </c>
      <c r="Q32" s="14" t="s">
        <v>354</v>
      </c>
      <c r="R32" s="3"/>
      <c r="S32" s="3"/>
      <c r="T32" s="3"/>
      <c r="U32" s="3"/>
    </row>
    <row r="33" spans="1:21" ht="60" customHeight="1" x14ac:dyDescent="0.45">
      <c r="A33" s="15" t="s">
        <v>355</v>
      </c>
      <c r="B33" s="15" t="s">
        <v>356</v>
      </c>
      <c r="C33" s="15" t="s">
        <v>357</v>
      </c>
      <c r="D33" s="15" t="s">
        <v>281</v>
      </c>
      <c r="E33" s="15" t="s">
        <v>358</v>
      </c>
      <c r="F33" s="15" t="s">
        <v>359</v>
      </c>
      <c r="G33" s="15" t="s">
        <v>360</v>
      </c>
      <c r="H33" s="15" t="s">
        <v>361</v>
      </c>
      <c r="I33" s="15" t="s">
        <v>362</v>
      </c>
      <c r="J33" s="3"/>
      <c r="K33" s="8">
        <v>1</v>
      </c>
      <c r="L33" s="9" t="str">
        <f>IF(J33="","",IF(J33="None - not implemented",0,1))</f>
        <v/>
      </c>
      <c r="M33" s="10">
        <v>1</v>
      </c>
      <c r="N33" s="11" t="str">
        <f t="shared" si="0"/>
        <v/>
      </c>
      <c r="O33" s="3"/>
      <c r="P33" s="15" t="s">
        <v>363</v>
      </c>
      <c r="Q33" s="15" t="s">
        <v>354</v>
      </c>
      <c r="R33" s="3"/>
      <c r="S33" s="3"/>
      <c r="T33" s="3"/>
      <c r="U33" s="3"/>
    </row>
    <row r="34" spans="1:21" ht="60" customHeight="1" x14ac:dyDescent="0.45">
      <c r="A34" s="15" t="s">
        <v>355</v>
      </c>
      <c r="B34" s="15" t="s">
        <v>356</v>
      </c>
      <c r="C34" s="15" t="s">
        <v>364</v>
      </c>
      <c r="D34" s="15" t="s">
        <v>365</v>
      </c>
      <c r="E34" s="15" t="s">
        <v>366</v>
      </c>
      <c r="F34" s="15" t="s">
        <v>367</v>
      </c>
      <c r="G34" s="15" t="s">
        <v>368</v>
      </c>
      <c r="H34" s="15" t="s">
        <v>369</v>
      </c>
      <c r="I34" s="15" t="s">
        <v>370</v>
      </c>
      <c r="J34" s="3"/>
      <c r="K34" s="8">
        <v>1</v>
      </c>
      <c r="L34" s="9" t="str">
        <f>IF(J34="","",IF(OR(J34="N/A",J34="Not applicable - allow listing only"),"N/A",IF(J34="YES",1,0)))</f>
        <v/>
      </c>
      <c r="M34" s="10">
        <v>1</v>
      </c>
      <c r="N34" s="11" t="str">
        <f t="shared" si="0"/>
        <v/>
      </c>
      <c r="O34" s="3"/>
      <c r="P34" s="15" t="s">
        <v>371</v>
      </c>
      <c r="Q34" s="15" t="s">
        <v>354</v>
      </c>
      <c r="R34" s="3"/>
      <c r="S34" s="3"/>
      <c r="T34" s="3"/>
      <c r="U34" s="3"/>
    </row>
    <row r="35" spans="1:21" ht="60" customHeight="1" x14ac:dyDescent="0.45">
      <c r="A35" s="15" t="s">
        <v>355</v>
      </c>
      <c r="B35" s="15" t="s">
        <v>356</v>
      </c>
      <c r="C35" s="15" t="s">
        <v>372</v>
      </c>
      <c r="D35" s="15" t="s">
        <v>373</v>
      </c>
      <c r="E35" s="15" t="s">
        <v>374</v>
      </c>
      <c r="F35" s="15" t="s">
        <v>375</v>
      </c>
      <c r="G35" s="15" t="s">
        <v>376</v>
      </c>
      <c r="H35" s="15" t="s">
        <v>377</v>
      </c>
      <c r="I35" s="15" t="s">
        <v>378</v>
      </c>
      <c r="J35" s="3"/>
      <c r="K35" s="8">
        <v>1</v>
      </c>
      <c r="L35" s="9" t="str">
        <f>IF(J35="","",IF(OR(J35="N/A",J35="Not applicable - anti-malware only"),"N/A",IF(J35="YES",1,0)))</f>
        <v/>
      </c>
      <c r="M35" s="10">
        <v>1</v>
      </c>
      <c r="N35" s="11" t="str">
        <f t="shared" si="0"/>
        <v/>
      </c>
      <c r="O35" s="3"/>
      <c r="P35" s="15" t="s">
        <v>379</v>
      </c>
      <c r="Q35" s="15" t="s">
        <v>354</v>
      </c>
      <c r="R35" s="3"/>
      <c r="S35" s="3"/>
      <c r="T35" s="3"/>
      <c r="U35" s="3"/>
    </row>
  </sheetData>
  <autoFilter ref="A3:U3" xr:uid="{00000000-0009-0000-0000-000003000000}"/>
  <mergeCells count="2">
    <mergeCell ref="A1:U1"/>
    <mergeCell ref="A2:U2"/>
  </mergeCells>
  <conditionalFormatting sqref="A34:U34">
    <cfRule type="expression" dxfId="14" priority="5">
      <formula>$J$33="Option B: Application allow listing"</formula>
    </cfRule>
  </conditionalFormatting>
  <conditionalFormatting sqref="A35:U35">
    <cfRule type="expression" dxfId="13" priority="6">
      <formula>$J$33="Option A: Anti-malware software"</formula>
    </cfRule>
  </conditionalFormatting>
  <conditionalFormatting sqref="N4:N35">
    <cfRule type="expression" dxfId="12" priority="2">
      <formula>$N4="PASS"</formula>
    </cfRule>
    <cfRule type="expression" dxfId="11" priority="3">
      <formula>$N4="FAIL"</formula>
    </cfRule>
    <cfRule type="expression" dxfId="10" priority="4">
      <formula>$N4="N/A"</formula>
    </cfRule>
  </conditionalFormatting>
  <dataValidations count="8">
    <dataValidation type="list" showErrorMessage="1" errorTitle="Invalid Entry" error="Please select a value from the dropdown list." sqref="J4:J6 J8:J16 J18:J28 J31:J32" xr:uid="{00000000-0002-0000-0300-000000000000}">
      <formula1>"YES,NO,N/A"</formula1>
      <formula2>0</formula2>
    </dataValidation>
    <dataValidation type="list" showErrorMessage="1" errorTitle="Invalid Entry" error="Please select a value from the dropdown list." sqref="J7" xr:uid="{00000000-0002-0000-0300-000001000000}">
      <formula1>"N/A - Interface not internet-facing,Option A: MFA applied,Option B: IP allow list,None - not implemented"</formula1>
      <formula2>0</formula2>
    </dataValidation>
    <dataValidation type="list" showErrorMessage="1" errorTitle="Invalid Entry" error="Please select a value from the dropdown list." sqref="J17" xr:uid="{00000000-0002-0000-0300-000002000000}">
      <formula1>"Option A: Throttling (max 10 in 5 min),Option B: Lockout after 10 attempts,Both options applied,Vendor default applied,None - not implemented"</formula1>
      <formula2>0</formula2>
    </dataValidation>
    <dataValidation type="list" showErrorMessage="1" errorTitle="Invalid Entry" error="Please select a value from the dropdown list." sqref="J29" xr:uid="{00000000-0002-0000-0300-000003000000}">
      <formula1>"Option A: MFA,Option B: Throttling,Option C: Account lockout,Multiple options,None - not implemented"</formula1>
      <formula2>0</formula2>
    </dataValidation>
    <dataValidation type="list" showErrorMessage="1" errorTitle="Invalid Entry" error="Please select a value from the dropdown list." sqref="J30" xr:uid="{00000000-0002-0000-0300-000004000000}">
      <formula1>"Option A: MFA,Option B: Min 12 chars no max,Option C: Min 8 chars with deny list,None - not implemented"</formula1>
      <formula2>0</formula2>
    </dataValidation>
    <dataValidation type="list" showErrorMessage="1" errorTitle="Invalid Entry" error="Please select a value from the dropdown list." sqref="J33" xr:uid="{00000000-0002-0000-0300-000005000000}">
      <formula1>"Option A: Anti-malware software,Option B: Application allow listing,Both options,None - not implemented"</formula1>
      <formula2>0</formula2>
    </dataValidation>
    <dataValidation type="list" showErrorMessage="1" errorTitle="Invalid Entry" error="Please select a value from the dropdown list." sqref="J34" xr:uid="{00000000-0002-0000-0300-000006000000}">
      <formula1>"YES,NO,N/A,Not applicable - allow listing only"</formula1>
      <formula2>0</formula2>
    </dataValidation>
    <dataValidation type="list" showErrorMessage="1" errorTitle="Invalid Entry" error="Please select a value from the dropdown list." sqref="J35" xr:uid="{00000000-0002-0000-0300-000007000000}">
      <formula1>"YES,NO,N/A,Not applicable - anti-malware only"</formula1>
      <formula2>0</formula2>
    </dataValidation>
  </dataValidations>
  <pageMargins left="0.75" right="0.75" top="1" bottom="1" header="0.511811023622047" footer="0.511811023622047"/>
  <pageSetup paperSize="9" orientation="portrait" horizontalDpi="300" verticalDpi="300"/>
  <ignoredErrors>
    <ignoredError sqref="L7"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F65"/>
  <sheetViews>
    <sheetView showGridLines="0" zoomScale="70" zoomScaleNormal="70" workbookViewId="0">
      <selection activeCell="A100" sqref="A100"/>
    </sheetView>
  </sheetViews>
  <sheetFormatPr defaultColWidth="8.6640625" defaultRowHeight="14.25" x14ac:dyDescent="0.45"/>
  <cols>
    <col min="1" max="1" width="28" customWidth="1"/>
    <col min="2" max="6" width="18" customWidth="1"/>
  </cols>
  <sheetData>
    <row r="1" spans="1:6" ht="36.4" customHeight="1" x14ac:dyDescent="0.45">
      <c r="A1" s="82" t="s">
        <v>380</v>
      </c>
      <c r="B1" s="82"/>
      <c r="C1" s="82"/>
      <c r="D1" s="82"/>
      <c r="E1" s="82"/>
      <c r="F1" s="82"/>
    </row>
    <row r="2" spans="1:6" ht="5.25" hidden="1" customHeight="1" x14ac:dyDescent="0.45"/>
    <row r="3" spans="1:6" ht="15" customHeight="1" x14ac:dyDescent="0.45">
      <c r="A3" s="81" t="s">
        <v>381</v>
      </c>
      <c r="B3" s="81"/>
      <c r="C3" s="81"/>
      <c r="D3" s="81"/>
      <c r="E3" s="81"/>
      <c r="F3" s="81"/>
    </row>
    <row r="4" spans="1:6" ht="21.75" customHeight="1" x14ac:dyDescent="0.45">
      <c r="A4" s="2" t="s">
        <v>382</v>
      </c>
      <c r="B4" s="16">
        <v>32</v>
      </c>
      <c r="C4" s="17" t="s">
        <v>383</v>
      </c>
      <c r="D4" s="18">
        <f>COUNTIF('Controls Assessment'!N4:N35,"PASS")</f>
        <v>0</v>
      </c>
      <c r="E4" s="19" t="s">
        <v>384</v>
      </c>
      <c r="F4" s="20">
        <f>COUNTIF('Controls Assessment'!N4:N35,"FAIL")</f>
        <v>0</v>
      </c>
    </row>
    <row r="5" spans="1:6" ht="21.75" customHeight="1" x14ac:dyDescent="0.45">
      <c r="A5" s="21" t="s">
        <v>385</v>
      </c>
      <c r="B5" s="22">
        <f>COUNTBLANK('Controls Assessment'!N4:N35)</f>
        <v>32</v>
      </c>
      <c r="C5" s="23" t="s">
        <v>386</v>
      </c>
      <c r="D5" s="24">
        <f>COUNTIF('Controls Assessment'!N4:N35,"N/A")</f>
        <v>0</v>
      </c>
      <c r="E5" s="86" t="str">
        <f>IF(COUNTIF('Controls Assessment'!N4:N35,"FAIL")=0,IF(COUNTBLANK('Controls Assessment'!N4:N35)=0,"ELIGIBLE FOR SUBMISSION","ASSESSMENT INCOMPLETE"),"NOT ELIGIBLE - FAILURES PRESENT")</f>
        <v>ASSESSMENT INCOMPLETE</v>
      </c>
      <c r="F5" s="86"/>
    </row>
    <row r="7" spans="1:6" ht="15" customHeight="1" x14ac:dyDescent="0.45">
      <c r="A7" s="81" t="s">
        <v>387</v>
      </c>
      <c r="B7" s="81"/>
      <c r="C7" s="81"/>
      <c r="D7" s="81"/>
      <c r="E7" s="81"/>
      <c r="F7" s="81"/>
    </row>
    <row r="8" spans="1:6" x14ac:dyDescent="0.45">
      <c r="A8" s="1" t="s">
        <v>31</v>
      </c>
      <c r="B8" s="1" t="s">
        <v>388</v>
      </c>
      <c r="C8" s="1" t="s">
        <v>383</v>
      </c>
      <c r="D8" s="1" t="s">
        <v>384</v>
      </c>
      <c r="E8" s="1" t="s">
        <v>386</v>
      </c>
      <c r="F8" s="1" t="s">
        <v>13</v>
      </c>
    </row>
    <row r="9" spans="1:6" ht="21.75" customHeight="1" x14ac:dyDescent="0.45">
      <c r="A9" s="4" t="s">
        <v>125</v>
      </c>
      <c r="B9" s="25">
        <v>7</v>
      </c>
      <c r="C9" s="17">
        <f>COUNTIF('Controls Assessment'!N4:N10,"PASS")</f>
        <v>0</v>
      </c>
      <c r="D9" s="19">
        <f>COUNTIF('Controls Assessment'!N4:N10,"FAIL")</f>
        <v>0</v>
      </c>
      <c r="E9" s="26">
        <f>COUNTIF('Controls Assessment'!N4:N10,"N/A")</f>
        <v>0</v>
      </c>
      <c r="F9" s="27" t="str">
        <f>IF(COUNTIF('Controls Assessment'!N4:N10,"FAIL")&gt;0,"FAIL",IF(COUNTBLANK('Controls Assessment'!N4:N10)&gt;0,"INCOMPLETE","PASS"))</f>
        <v>INCOMPLETE</v>
      </c>
    </row>
    <row r="10" spans="1:6" ht="21.75" customHeight="1" x14ac:dyDescent="0.45">
      <c r="A10" s="4" t="s">
        <v>182</v>
      </c>
      <c r="B10" s="25">
        <v>8</v>
      </c>
      <c r="C10" s="17">
        <f>COUNTIF('Controls Assessment'!N11:N18,"PASS")</f>
        <v>0</v>
      </c>
      <c r="D10" s="19">
        <f>COUNTIF('Controls Assessment'!N11:N18,"FAIL")</f>
        <v>0</v>
      </c>
      <c r="E10" s="26">
        <f>COUNTIF('Controls Assessment'!N11:N18,"N/A")</f>
        <v>0</v>
      </c>
      <c r="F10" s="27" t="str">
        <f>IF(COUNTIF('Controls Assessment'!N11:N18,"FAIL")&gt;0,"FAIL",IF(COUNTBLANK('Controls Assessment'!N11:N18)&gt;0,"INCOMPLETE","PASS"))</f>
        <v>INCOMPLETE</v>
      </c>
    </row>
    <row r="11" spans="1:6" ht="21.75" customHeight="1" x14ac:dyDescent="0.45">
      <c r="A11" s="4" t="s">
        <v>245</v>
      </c>
      <c r="B11" s="25">
        <v>4</v>
      </c>
      <c r="C11" s="17">
        <f>COUNTIF('Controls Assessment'!N19:N22,"PASS")</f>
        <v>0</v>
      </c>
      <c r="D11" s="19">
        <f>COUNTIF('Controls Assessment'!N19:N22,"FAIL")</f>
        <v>0</v>
      </c>
      <c r="E11" s="26">
        <f>COUNTIF('Controls Assessment'!N19:N22,"N/A")</f>
        <v>0</v>
      </c>
      <c r="F11" s="27" t="str">
        <f>IF(COUNTIF('Controls Assessment'!N19:N22,"FAIL")&gt;0,"FAIL",IF(COUNTBLANK('Controls Assessment'!N19:N22)&gt;0,"INCOMPLETE","PASS"))</f>
        <v>INCOMPLETE</v>
      </c>
    </row>
    <row r="12" spans="1:6" ht="21.75" customHeight="1" x14ac:dyDescent="0.45">
      <c r="A12" s="4" t="s">
        <v>278</v>
      </c>
      <c r="B12" s="25">
        <v>10</v>
      </c>
      <c r="C12" s="17">
        <f>COUNTIF('Controls Assessment'!N23:N32,"PASS")</f>
        <v>0</v>
      </c>
      <c r="D12" s="19">
        <f>COUNTIF('Controls Assessment'!N23:N32,"FAIL")</f>
        <v>0</v>
      </c>
      <c r="E12" s="26">
        <f>COUNTIF('Controls Assessment'!N23:N32,"N/A")</f>
        <v>0</v>
      </c>
      <c r="F12" s="27" t="str">
        <f>IF(COUNTIF('Controls Assessment'!N23:N32,"FAIL")&gt;0,"FAIL",IF(COUNTBLANK('Controls Assessment'!N23:N32)&gt;0,"INCOMPLETE","PASS"))</f>
        <v>INCOMPLETE</v>
      </c>
    </row>
    <row r="13" spans="1:6" ht="21.75" customHeight="1" x14ac:dyDescent="0.45">
      <c r="A13" s="4" t="s">
        <v>355</v>
      </c>
      <c r="B13" s="25">
        <v>3</v>
      </c>
      <c r="C13" s="17">
        <f>COUNTIF('Controls Assessment'!N33:N35,"PASS")</f>
        <v>0</v>
      </c>
      <c r="D13" s="19">
        <f>COUNTIF('Controls Assessment'!N33:N35,"FAIL")</f>
        <v>0</v>
      </c>
      <c r="E13" s="26">
        <f>COUNTIF('Controls Assessment'!N33:N35,"N/A")</f>
        <v>0</v>
      </c>
      <c r="F13" s="27" t="str">
        <f>IF(COUNTIF('Controls Assessment'!N33:N35,"FAIL")&gt;0,"FAIL",IF(COUNTBLANK('Controls Assessment'!N33:N35)&gt;0,"INCOMPLETE","PASS"))</f>
        <v>INCOMPLETE</v>
      </c>
    </row>
    <row r="15" spans="1:6" ht="15" customHeight="1" x14ac:dyDescent="0.45">
      <c r="A15" s="81" t="s">
        <v>389</v>
      </c>
      <c r="B15" s="81"/>
      <c r="C15" s="81"/>
      <c r="D15" s="81"/>
      <c r="E15" s="81"/>
      <c r="F15" s="81"/>
    </row>
    <row r="16" spans="1:6" ht="21.75" customHeight="1" x14ac:dyDescent="0.45">
      <c r="A16" s="2" t="s">
        <v>390</v>
      </c>
      <c r="B16" s="28">
        <f>COUNTA('Controls Assessment'!O4:O35)</f>
        <v>0</v>
      </c>
    </row>
    <row r="17" spans="1:6" ht="26.25" x14ac:dyDescent="0.45">
      <c r="A17" s="2" t="s">
        <v>391</v>
      </c>
      <c r="B17" s="28">
        <f>COUNTA('Controls Assessment'!J4:J35)</f>
        <v>0</v>
      </c>
    </row>
    <row r="18" spans="1:6" x14ac:dyDescent="0.45">
      <c r="A18" s="2" t="s">
        <v>392</v>
      </c>
      <c r="B18" s="28">
        <f>COUNTA('Controls Assessment'!U4:U35)</f>
        <v>0</v>
      </c>
    </row>
    <row r="20" spans="1:6" ht="15" customHeight="1" x14ac:dyDescent="0.45">
      <c r="A20" s="81" t="s">
        <v>393</v>
      </c>
      <c r="B20" s="81"/>
      <c r="C20" s="81"/>
      <c r="D20" s="81"/>
      <c r="E20" s="81"/>
      <c r="F20" s="81"/>
    </row>
    <row r="21" spans="1:6" ht="21.75" customHeight="1" x14ac:dyDescent="0.45">
      <c r="A21" s="2" t="s">
        <v>394</v>
      </c>
      <c r="B21" s="28">
        <f>COUNTA('Controls Assessment'!R4:R35)</f>
        <v>0</v>
      </c>
      <c r="C21" s="2" t="s">
        <v>395</v>
      </c>
      <c r="D21" s="29">
        <v>32</v>
      </c>
    </row>
    <row r="23" spans="1:6" ht="15" customHeight="1" x14ac:dyDescent="0.45">
      <c r="A23" s="81" t="s">
        <v>396</v>
      </c>
      <c r="B23" s="81"/>
      <c r="C23" s="81"/>
      <c r="D23" s="81"/>
      <c r="E23" s="81"/>
      <c r="F23" s="81"/>
    </row>
    <row r="24" spans="1:6" x14ac:dyDescent="0.45">
      <c r="A24" s="1" t="s">
        <v>397</v>
      </c>
      <c r="B24" s="1" t="s">
        <v>398</v>
      </c>
    </row>
    <row r="25" spans="1:6" ht="25.5" x14ac:dyDescent="0.45">
      <c r="A25" s="4" t="s">
        <v>192</v>
      </c>
      <c r="B25" s="25">
        <v>12</v>
      </c>
    </row>
    <row r="26" spans="1:6" ht="19.5" customHeight="1" x14ac:dyDescent="0.45">
      <c r="A26" s="4" t="s">
        <v>135</v>
      </c>
      <c r="B26" s="25">
        <v>6</v>
      </c>
    </row>
    <row r="27" spans="1:6" ht="19.5" customHeight="1" x14ac:dyDescent="0.45">
      <c r="A27" s="4" t="s">
        <v>144</v>
      </c>
      <c r="B27" s="25">
        <v>6</v>
      </c>
    </row>
    <row r="28" spans="1:6" ht="19.5" customHeight="1" x14ac:dyDescent="0.45">
      <c r="A28" s="4" t="s">
        <v>354</v>
      </c>
      <c r="B28" s="25">
        <v>4</v>
      </c>
    </row>
    <row r="29" spans="1:6" ht="19.5" customHeight="1" x14ac:dyDescent="0.45">
      <c r="A29" s="4" t="s">
        <v>255</v>
      </c>
      <c r="B29" s="25">
        <v>2</v>
      </c>
    </row>
    <row r="30" spans="1:6" ht="19.5" customHeight="1" x14ac:dyDescent="0.45">
      <c r="A30" s="4" t="s">
        <v>270</v>
      </c>
      <c r="B30" s="25">
        <v>2</v>
      </c>
    </row>
    <row r="32" spans="1:6" ht="15" customHeight="1" x14ac:dyDescent="0.45">
      <c r="A32" s="81" t="s">
        <v>399</v>
      </c>
      <c r="B32" s="81"/>
      <c r="C32" s="81"/>
      <c r="D32" s="81"/>
      <c r="E32" s="81"/>
      <c r="F32" s="81"/>
    </row>
    <row r="33" spans="1:6" ht="15" customHeight="1" x14ac:dyDescent="0.45">
      <c r="A33" s="1" t="s">
        <v>118</v>
      </c>
      <c r="B33" s="87" t="s">
        <v>37</v>
      </c>
      <c r="C33" s="87"/>
      <c r="D33" s="87"/>
      <c r="E33" s="1" t="s">
        <v>13</v>
      </c>
      <c r="F33" s="1" t="s">
        <v>5</v>
      </c>
    </row>
    <row r="34" spans="1:6" ht="18" customHeight="1" x14ac:dyDescent="0.45">
      <c r="A34" s="4" t="s">
        <v>129</v>
      </c>
      <c r="B34" s="88" t="s">
        <v>127</v>
      </c>
      <c r="C34" s="88"/>
      <c r="D34" s="88"/>
      <c r="E34" s="11" t="str">
        <f>'Controls Assessment'!N4</f>
        <v/>
      </c>
      <c r="F34" s="30">
        <f>'Controls Assessment'!T4</f>
        <v>0</v>
      </c>
    </row>
    <row r="35" spans="1:6" ht="18" customHeight="1" x14ac:dyDescent="0.45">
      <c r="A35" s="4" t="s">
        <v>138</v>
      </c>
      <c r="B35" s="88" t="s">
        <v>136</v>
      </c>
      <c r="C35" s="88"/>
      <c r="D35" s="88"/>
      <c r="E35" s="11" t="str">
        <f>'Controls Assessment'!N5</f>
        <v/>
      </c>
      <c r="F35" s="30">
        <f>'Controls Assessment'!T5</f>
        <v>0</v>
      </c>
    </row>
    <row r="36" spans="1:6" ht="18" customHeight="1" x14ac:dyDescent="0.45">
      <c r="A36" s="4" t="s">
        <v>147</v>
      </c>
      <c r="B36" s="88" t="s">
        <v>145</v>
      </c>
      <c r="C36" s="88"/>
      <c r="D36" s="88"/>
      <c r="E36" s="11" t="str">
        <f>'Controls Assessment'!N6</f>
        <v/>
      </c>
      <c r="F36" s="30">
        <f>'Controls Assessment'!T6</f>
        <v>0</v>
      </c>
    </row>
    <row r="37" spans="1:6" ht="18" customHeight="1" x14ac:dyDescent="0.45">
      <c r="A37" s="4" t="s">
        <v>154</v>
      </c>
      <c r="B37" s="88" t="s">
        <v>153</v>
      </c>
      <c r="C37" s="88"/>
      <c r="D37" s="88"/>
      <c r="E37" s="11" t="str">
        <f>'Controls Assessment'!N7</f>
        <v/>
      </c>
      <c r="F37" s="30">
        <f>'Controls Assessment'!T7</f>
        <v>0</v>
      </c>
    </row>
    <row r="38" spans="1:6" ht="18" customHeight="1" x14ac:dyDescent="0.45">
      <c r="A38" s="4" t="s">
        <v>162</v>
      </c>
      <c r="B38" s="88" t="s">
        <v>160</v>
      </c>
      <c r="C38" s="88"/>
      <c r="D38" s="88"/>
      <c r="E38" s="11" t="str">
        <f>'Controls Assessment'!N8</f>
        <v/>
      </c>
      <c r="F38" s="30">
        <f>'Controls Assessment'!T8</f>
        <v>0</v>
      </c>
    </row>
    <row r="39" spans="1:6" ht="18" customHeight="1" x14ac:dyDescent="0.45">
      <c r="A39" s="4" t="s">
        <v>169</v>
      </c>
      <c r="B39" s="88" t="s">
        <v>168</v>
      </c>
      <c r="C39" s="88"/>
      <c r="D39" s="88"/>
      <c r="E39" s="11" t="str">
        <f>'Controls Assessment'!N9</f>
        <v/>
      </c>
      <c r="F39" s="30">
        <f>'Controls Assessment'!T9</f>
        <v>0</v>
      </c>
    </row>
    <row r="40" spans="1:6" ht="18" customHeight="1" x14ac:dyDescent="0.45">
      <c r="A40" s="4" t="s">
        <v>176</v>
      </c>
      <c r="B40" s="88" t="s">
        <v>175</v>
      </c>
      <c r="C40" s="88"/>
      <c r="D40" s="88"/>
      <c r="E40" s="11" t="str">
        <f>'Controls Assessment'!N10</f>
        <v/>
      </c>
      <c r="F40" s="30">
        <f>'Controls Assessment'!T10</f>
        <v>0</v>
      </c>
    </row>
    <row r="41" spans="1:6" ht="18" customHeight="1" x14ac:dyDescent="0.45">
      <c r="A41" s="4" t="s">
        <v>186</v>
      </c>
      <c r="B41" s="88" t="s">
        <v>184</v>
      </c>
      <c r="C41" s="88"/>
      <c r="D41" s="88"/>
      <c r="E41" s="11" t="str">
        <f>'Controls Assessment'!N11</f>
        <v/>
      </c>
      <c r="F41" s="30">
        <f>'Controls Assessment'!T11</f>
        <v>0</v>
      </c>
    </row>
    <row r="42" spans="1:6" ht="18" customHeight="1" x14ac:dyDescent="0.45">
      <c r="A42" s="4" t="s">
        <v>194</v>
      </c>
      <c r="B42" s="88" t="s">
        <v>193</v>
      </c>
      <c r="C42" s="88"/>
      <c r="D42" s="88"/>
      <c r="E42" s="11" t="str">
        <f>'Controls Assessment'!N12</f>
        <v/>
      </c>
      <c r="F42" s="30">
        <f>'Controls Assessment'!T12</f>
        <v>0</v>
      </c>
    </row>
    <row r="43" spans="1:6" ht="18" customHeight="1" x14ac:dyDescent="0.45">
      <c r="A43" s="4" t="s">
        <v>201</v>
      </c>
      <c r="B43" s="88" t="s">
        <v>200</v>
      </c>
      <c r="C43" s="88"/>
      <c r="D43" s="88"/>
      <c r="E43" s="11" t="str">
        <f>'Controls Assessment'!N13</f>
        <v/>
      </c>
      <c r="F43" s="30">
        <f>'Controls Assessment'!T13</f>
        <v>0</v>
      </c>
    </row>
    <row r="44" spans="1:6" ht="18" customHeight="1" x14ac:dyDescent="0.45">
      <c r="A44" s="4" t="s">
        <v>209</v>
      </c>
      <c r="B44" s="88" t="s">
        <v>207</v>
      </c>
      <c r="C44" s="88"/>
      <c r="D44" s="88"/>
      <c r="E44" s="11" t="str">
        <f>'Controls Assessment'!N14</f>
        <v/>
      </c>
      <c r="F44" s="30">
        <f>'Controls Assessment'!T14</f>
        <v>0</v>
      </c>
    </row>
    <row r="45" spans="1:6" ht="18" customHeight="1" x14ac:dyDescent="0.45">
      <c r="A45" s="4" t="s">
        <v>216</v>
      </c>
      <c r="B45" s="88" t="s">
        <v>215</v>
      </c>
      <c r="C45" s="88"/>
      <c r="D45" s="88"/>
      <c r="E45" s="11" t="str">
        <f>'Controls Assessment'!N15</f>
        <v/>
      </c>
      <c r="F45" s="30">
        <f>'Controls Assessment'!T15</f>
        <v>0</v>
      </c>
    </row>
    <row r="46" spans="1:6" ht="18" customHeight="1" x14ac:dyDescent="0.45">
      <c r="A46" s="4" t="s">
        <v>224</v>
      </c>
      <c r="B46" s="88" t="s">
        <v>222</v>
      </c>
      <c r="C46" s="88"/>
      <c r="D46" s="88"/>
      <c r="E46" s="11" t="str">
        <f>'Controls Assessment'!N16</f>
        <v/>
      </c>
      <c r="F46" s="30">
        <f>'Controls Assessment'!T16</f>
        <v>0</v>
      </c>
    </row>
    <row r="47" spans="1:6" ht="18" customHeight="1" x14ac:dyDescent="0.45">
      <c r="A47" s="4" t="s">
        <v>232</v>
      </c>
      <c r="B47" s="88" t="s">
        <v>230</v>
      </c>
      <c r="C47" s="88"/>
      <c r="D47" s="88"/>
      <c r="E47" s="11" t="str">
        <f>'Controls Assessment'!N17</f>
        <v/>
      </c>
      <c r="F47" s="30">
        <f>'Controls Assessment'!T17</f>
        <v>0</v>
      </c>
    </row>
    <row r="48" spans="1:6" ht="18" customHeight="1" x14ac:dyDescent="0.45">
      <c r="A48" s="4" t="s">
        <v>239</v>
      </c>
      <c r="B48" s="88" t="s">
        <v>238</v>
      </c>
      <c r="C48" s="88"/>
      <c r="D48" s="88"/>
      <c r="E48" s="11" t="str">
        <f>'Controls Assessment'!N18</f>
        <v/>
      </c>
      <c r="F48" s="30">
        <f>'Controls Assessment'!T18</f>
        <v>0</v>
      </c>
    </row>
    <row r="49" spans="1:6" ht="18" customHeight="1" x14ac:dyDescent="0.45">
      <c r="A49" s="4" t="s">
        <v>249</v>
      </c>
      <c r="B49" s="88" t="s">
        <v>247</v>
      </c>
      <c r="C49" s="88"/>
      <c r="D49" s="88"/>
      <c r="E49" s="11" t="str">
        <f>'Controls Assessment'!N19</f>
        <v/>
      </c>
      <c r="F49" s="30">
        <f>'Controls Assessment'!T19</f>
        <v>0</v>
      </c>
    </row>
    <row r="50" spans="1:6" ht="18" customHeight="1" x14ac:dyDescent="0.45">
      <c r="A50" s="4" t="s">
        <v>257</v>
      </c>
      <c r="B50" s="88" t="s">
        <v>256</v>
      </c>
      <c r="C50" s="88"/>
      <c r="D50" s="88"/>
      <c r="E50" s="11" t="str">
        <f>'Controls Assessment'!N20</f>
        <v/>
      </c>
      <c r="F50" s="30">
        <f>'Controls Assessment'!T20</f>
        <v>0</v>
      </c>
    </row>
    <row r="51" spans="1:6" ht="18" customHeight="1" x14ac:dyDescent="0.45">
      <c r="A51" s="4" t="s">
        <v>264</v>
      </c>
      <c r="B51" s="88" t="s">
        <v>263</v>
      </c>
      <c r="C51" s="88"/>
      <c r="D51" s="88"/>
      <c r="E51" s="11" t="str">
        <f>'Controls Assessment'!N21</f>
        <v/>
      </c>
      <c r="F51" s="30">
        <f>'Controls Assessment'!T21</f>
        <v>0</v>
      </c>
    </row>
    <row r="52" spans="1:6" ht="18" customHeight="1" x14ac:dyDescent="0.45">
      <c r="A52" s="4" t="s">
        <v>272</v>
      </c>
      <c r="B52" s="88" t="s">
        <v>271</v>
      </c>
      <c r="C52" s="88"/>
      <c r="D52" s="88"/>
      <c r="E52" s="11" t="str">
        <f>'Controls Assessment'!N22</f>
        <v/>
      </c>
      <c r="F52" s="30">
        <f>'Controls Assessment'!T22</f>
        <v>0</v>
      </c>
    </row>
    <row r="53" spans="1:6" ht="18" customHeight="1" x14ac:dyDescent="0.45">
      <c r="A53" s="4" t="s">
        <v>282</v>
      </c>
      <c r="B53" s="88" t="s">
        <v>280</v>
      </c>
      <c r="C53" s="88"/>
      <c r="D53" s="88"/>
      <c r="E53" s="11" t="str">
        <f>'Controls Assessment'!N23</f>
        <v/>
      </c>
      <c r="F53" s="30">
        <f>'Controls Assessment'!T23</f>
        <v>0</v>
      </c>
    </row>
    <row r="54" spans="1:6" ht="18" customHeight="1" x14ac:dyDescent="0.45">
      <c r="A54" s="4" t="s">
        <v>289</v>
      </c>
      <c r="B54" s="88" t="s">
        <v>288</v>
      </c>
      <c r="C54" s="88"/>
      <c r="D54" s="88"/>
      <c r="E54" s="11" t="str">
        <f>'Controls Assessment'!N24</f>
        <v/>
      </c>
      <c r="F54" s="30">
        <f>'Controls Assessment'!T24</f>
        <v>0</v>
      </c>
    </row>
    <row r="55" spans="1:6" ht="18" customHeight="1" x14ac:dyDescent="0.45">
      <c r="A55" s="4" t="s">
        <v>296</v>
      </c>
      <c r="B55" s="88" t="s">
        <v>295</v>
      </c>
      <c r="C55" s="88"/>
      <c r="D55" s="88"/>
      <c r="E55" s="11" t="str">
        <f>'Controls Assessment'!N25</f>
        <v/>
      </c>
      <c r="F55" s="30">
        <f>'Controls Assessment'!T25</f>
        <v>0</v>
      </c>
    </row>
    <row r="56" spans="1:6" ht="18" customHeight="1" x14ac:dyDescent="0.45">
      <c r="A56" s="4" t="s">
        <v>303</v>
      </c>
      <c r="B56" s="88" t="s">
        <v>302</v>
      </c>
      <c r="C56" s="88"/>
      <c r="D56" s="88"/>
      <c r="E56" s="11" t="str">
        <f>'Controls Assessment'!N26</f>
        <v/>
      </c>
      <c r="F56" s="30">
        <f>'Controls Assessment'!T26</f>
        <v>0</v>
      </c>
    </row>
    <row r="57" spans="1:6" ht="18" customHeight="1" x14ac:dyDescent="0.45">
      <c r="A57" s="4" t="s">
        <v>311</v>
      </c>
      <c r="B57" s="88" t="s">
        <v>309</v>
      </c>
      <c r="C57" s="88"/>
      <c r="D57" s="88"/>
      <c r="E57" s="11" t="str">
        <f>'Controls Assessment'!N27</f>
        <v/>
      </c>
      <c r="F57" s="30">
        <f>'Controls Assessment'!T27</f>
        <v>0</v>
      </c>
    </row>
    <row r="58" spans="1:6" ht="18" customHeight="1" x14ac:dyDescent="0.45">
      <c r="A58" s="4" t="s">
        <v>318</v>
      </c>
      <c r="B58" s="88" t="s">
        <v>317</v>
      </c>
      <c r="C58" s="88"/>
      <c r="D58" s="88"/>
      <c r="E58" s="11" t="str">
        <f>'Controls Assessment'!N28</f>
        <v/>
      </c>
      <c r="F58" s="30">
        <f>'Controls Assessment'!T28</f>
        <v>0</v>
      </c>
    </row>
    <row r="59" spans="1:6" ht="18" customHeight="1" x14ac:dyDescent="0.45">
      <c r="A59" s="4" t="s">
        <v>326</v>
      </c>
      <c r="B59" s="88" t="s">
        <v>325</v>
      </c>
      <c r="C59" s="88"/>
      <c r="D59" s="88"/>
      <c r="E59" s="11" t="str">
        <f>'Controls Assessment'!N29</f>
        <v/>
      </c>
      <c r="F59" s="30">
        <f>'Controls Assessment'!T29</f>
        <v>0</v>
      </c>
    </row>
    <row r="60" spans="1:6" ht="18" customHeight="1" x14ac:dyDescent="0.45">
      <c r="A60" s="4" t="s">
        <v>333</v>
      </c>
      <c r="B60" s="88" t="s">
        <v>332</v>
      </c>
      <c r="C60" s="88"/>
      <c r="D60" s="88"/>
      <c r="E60" s="11" t="str">
        <f>'Controls Assessment'!N30</f>
        <v/>
      </c>
      <c r="F60" s="30">
        <f>'Controls Assessment'!T30</f>
        <v>0</v>
      </c>
    </row>
    <row r="61" spans="1:6" ht="18" customHeight="1" x14ac:dyDescent="0.45">
      <c r="A61" s="4" t="s">
        <v>341</v>
      </c>
      <c r="B61" s="88" t="s">
        <v>339</v>
      </c>
      <c r="C61" s="88"/>
      <c r="D61" s="88"/>
      <c r="E61" s="11" t="str">
        <f>'Controls Assessment'!N31</f>
        <v/>
      </c>
      <c r="F61" s="30">
        <f>'Controls Assessment'!T31</f>
        <v>0</v>
      </c>
    </row>
    <row r="62" spans="1:6" ht="18" customHeight="1" x14ac:dyDescent="0.45">
      <c r="A62" s="4" t="s">
        <v>348</v>
      </c>
      <c r="B62" s="88" t="s">
        <v>347</v>
      </c>
      <c r="C62" s="88"/>
      <c r="D62" s="88"/>
      <c r="E62" s="11" t="str">
        <f>'Controls Assessment'!N32</f>
        <v/>
      </c>
      <c r="F62" s="30">
        <f>'Controls Assessment'!T32</f>
        <v>0</v>
      </c>
    </row>
    <row r="63" spans="1:6" ht="18" customHeight="1" x14ac:dyDescent="0.45">
      <c r="A63" s="4" t="s">
        <v>358</v>
      </c>
      <c r="B63" s="88" t="s">
        <v>357</v>
      </c>
      <c r="C63" s="88"/>
      <c r="D63" s="88"/>
      <c r="E63" s="11" t="str">
        <f>'Controls Assessment'!N33</f>
        <v/>
      </c>
      <c r="F63" s="30">
        <f>'Controls Assessment'!T33</f>
        <v>0</v>
      </c>
    </row>
    <row r="64" spans="1:6" ht="18" customHeight="1" x14ac:dyDescent="0.45">
      <c r="A64" s="4" t="s">
        <v>366</v>
      </c>
      <c r="B64" s="88" t="s">
        <v>364</v>
      </c>
      <c r="C64" s="88"/>
      <c r="D64" s="88"/>
      <c r="E64" s="11" t="str">
        <f>'Controls Assessment'!N34</f>
        <v/>
      </c>
      <c r="F64" s="30">
        <f>'Controls Assessment'!T34</f>
        <v>0</v>
      </c>
    </row>
    <row r="65" spans="1:6" ht="18" customHeight="1" x14ac:dyDescent="0.45">
      <c r="A65" s="4" t="s">
        <v>374</v>
      </c>
      <c r="B65" s="88" t="s">
        <v>372</v>
      </c>
      <c r="C65" s="88"/>
      <c r="D65" s="88"/>
      <c r="E65" s="11" t="str">
        <f>'Controls Assessment'!N35</f>
        <v/>
      </c>
      <c r="F65" s="30">
        <f>'Controls Assessment'!T35</f>
        <v>0</v>
      </c>
    </row>
  </sheetData>
  <mergeCells count="41">
    <mergeCell ref="B65:D65"/>
    <mergeCell ref="B60:D60"/>
    <mergeCell ref="B61:D61"/>
    <mergeCell ref="B62:D62"/>
    <mergeCell ref="B63:D63"/>
    <mergeCell ref="B64:D64"/>
    <mergeCell ref="B55:D55"/>
    <mergeCell ref="B56:D56"/>
    <mergeCell ref="B57:D57"/>
    <mergeCell ref="B58:D58"/>
    <mergeCell ref="B59:D59"/>
    <mergeCell ref="B50:D50"/>
    <mergeCell ref="B51:D51"/>
    <mergeCell ref="B52:D52"/>
    <mergeCell ref="B53:D53"/>
    <mergeCell ref="B54:D54"/>
    <mergeCell ref="B45:D45"/>
    <mergeCell ref="B46:D46"/>
    <mergeCell ref="B47:D47"/>
    <mergeCell ref="B48:D48"/>
    <mergeCell ref="B49:D49"/>
    <mergeCell ref="B40:D40"/>
    <mergeCell ref="B41:D41"/>
    <mergeCell ref="B42:D42"/>
    <mergeCell ref="B43:D43"/>
    <mergeCell ref="B44:D44"/>
    <mergeCell ref="B35:D35"/>
    <mergeCell ref="B36:D36"/>
    <mergeCell ref="B37:D37"/>
    <mergeCell ref="B38:D38"/>
    <mergeCell ref="B39:D39"/>
    <mergeCell ref="A20:F20"/>
    <mergeCell ref="A23:F23"/>
    <mergeCell ref="A32:F32"/>
    <mergeCell ref="B33:D33"/>
    <mergeCell ref="B34:D34"/>
    <mergeCell ref="A1:F1"/>
    <mergeCell ref="A3:F3"/>
    <mergeCell ref="E5:F5"/>
    <mergeCell ref="A7:F7"/>
    <mergeCell ref="A15:F15"/>
  </mergeCells>
  <conditionalFormatting sqref="E34:E65">
    <cfRule type="expression" dxfId="9" priority="2">
      <formula>$E34="PASS"</formula>
    </cfRule>
    <cfRule type="expression" dxfId="8" priority="3">
      <formula>$E34="FAIL"</formula>
    </cfRule>
    <cfRule type="expression" dxfId="7" priority="4">
      <formula>$E34="N/A"</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A4FBF"/>
  </sheetPr>
  <dimension ref="A1:DY36"/>
  <sheetViews>
    <sheetView showGridLines="0" zoomScale="90" zoomScaleNormal="90" workbookViewId="0">
      <pane xSplit="2" ySplit="4" topLeftCell="C5" activePane="bottomRight" state="frozen"/>
      <selection pane="topRight" activeCell="C1" sqref="C1"/>
      <selection pane="bottomLeft" activeCell="A5" sqref="A5"/>
      <selection pane="bottomRight" activeCell="A50" sqref="A50"/>
    </sheetView>
  </sheetViews>
  <sheetFormatPr defaultColWidth="8.6640625" defaultRowHeight="14.25" x14ac:dyDescent="0.45"/>
  <cols>
    <col min="1" max="1" width="26.86328125" customWidth="1"/>
    <col min="2" max="2" width="7.19921875" bestFit="1" customWidth="1"/>
    <col min="3" max="3" width="40" customWidth="1"/>
    <col min="4" max="4" width="32.33203125" customWidth="1"/>
    <col min="5" max="6" width="14" customWidth="1"/>
    <col min="7" max="7" width="10" customWidth="1"/>
    <col min="8" max="8" width="8" customWidth="1"/>
    <col min="9" max="9" width="12" customWidth="1"/>
    <col min="10" max="10" width="22" customWidth="1"/>
    <col min="11" max="125" width="3.46484375" customWidth="1"/>
  </cols>
  <sheetData>
    <row r="1" spans="1:129" ht="18" customHeight="1" x14ac:dyDescent="0.45">
      <c r="A1" s="89" t="s">
        <v>444</v>
      </c>
      <c r="B1" s="89"/>
      <c r="C1" s="89"/>
      <c r="D1" s="89"/>
      <c r="E1" s="89"/>
      <c r="F1" s="89"/>
      <c r="G1" s="89"/>
      <c r="H1" s="89"/>
      <c r="I1" s="89"/>
      <c r="J1" s="89"/>
      <c r="K1" s="97" t="s">
        <v>445</v>
      </c>
      <c r="L1" s="98"/>
      <c r="M1" s="98"/>
      <c r="N1" s="98"/>
      <c r="O1" s="98"/>
      <c r="P1" s="98"/>
      <c r="Q1" s="98"/>
      <c r="R1" s="98"/>
      <c r="S1" s="98"/>
      <c r="T1" s="98"/>
      <c r="U1" s="98"/>
      <c r="V1" s="98"/>
      <c r="W1" s="98"/>
      <c r="X1" s="98"/>
      <c r="Y1" s="98"/>
      <c r="Z1" s="98"/>
      <c r="AA1" s="98"/>
      <c r="AB1" s="98"/>
      <c r="AC1" s="98"/>
      <c r="AD1" s="98"/>
      <c r="AE1" s="98"/>
      <c r="AF1" s="98"/>
      <c r="AG1" s="99"/>
      <c r="AH1" s="100" t="s">
        <v>446</v>
      </c>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row>
    <row r="2" spans="1:129" ht="15.75" customHeight="1" x14ac:dyDescent="0.45">
      <c r="A2" s="48"/>
      <c r="B2" s="48"/>
      <c r="C2" s="48"/>
      <c r="D2" s="104" t="s">
        <v>447</v>
      </c>
      <c r="E2" s="105"/>
      <c r="F2" s="49">
        <f>IF(ISNUMBER(Cover!B7),Cover!B7+14,DATE(2026,6,22))</f>
        <v>46195</v>
      </c>
      <c r="G2" s="90" t="s">
        <v>448</v>
      </c>
      <c r="H2" s="90"/>
      <c r="I2" s="90"/>
      <c r="J2" s="90"/>
      <c r="K2" s="91" t="s">
        <v>449</v>
      </c>
      <c r="L2" s="92"/>
      <c r="M2" s="92"/>
      <c r="N2" s="92"/>
      <c r="O2" s="92"/>
      <c r="P2" s="92"/>
      <c r="Q2" s="92"/>
      <c r="R2" s="92"/>
      <c r="S2" s="92"/>
      <c r="T2" s="92"/>
      <c r="U2" s="92"/>
      <c r="V2" s="92"/>
      <c r="W2" s="92"/>
      <c r="X2" s="92"/>
      <c r="Y2" s="92"/>
      <c r="Z2" s="92"/>
      <c r="AA2" s="92"/>
      <c r="AB2" s="92"/>
      <c r="AC2" s="92"/>
      <c r="AD2" s="92"/>
      <c r="AE2" s="92"/>
      <c r="AF2" s="92"/>
      <c r="AG2" s="93"/>
      <c r="AH2" s="91" t="s">
        <v>450</v>
      </c>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3"/>
      <c r="BM2" s="94" t="s">
        <v>451</v>
      </c>
      <c r="BN2" s="95"/>
      <c r="BO2" s="95"/>
      <c r="BP2" s="95"/>
      <c r="BQ2" s="95"/>
      <c r="BR2" s="95"/>
      <c r="BS2" s="95"/>
      <c r="BT2" s="95"/>
      <c r="BU2" s="95"/>
      <c r="BV2" s="95"/>
      <c r="BW2" s="95"/>
      <c r="BX2" s="95"/>
      <c r="BY2" s="95"/>
      <c r="BZ2" s="95"/>
      <c r="CA2" s="95"/>
      <c r="CB2" s="95"/>
      <c r="CC2" s="95"/>
      <c r="CD2" s="95"/>
      <c r="CE2" s="95"/>
      <c r="CF2" s="95"/>
      <c r="CG2" s="95"/>
      <c r="CH2" s="95"/>
      <c r="CI2" s="95"/>
      <c r="CJ2" s="95"/>
      <c r="CK2" s="95"/>
      <c r="CL2" s="95"/>
      <c r="CM2" s="95"/>
      <c r="CN2" s="95"/>
      <c r="CO2" s="95"/>
      <c r="CP2" s="95"/>
      <c r="CQ2" s="96"/>
      <c r="CR2" s="91" t="s">
        <v>452</v>
      </c>
      <c r="CS2" s="92"/>
      <c r="CT2" s="92"/>
      <c r="CU2" s="92"/>
      <c r="CV2" s="92"/>
      <c r="CW2" s="92"/>
      <c r="CX2" s="92"/>
      <c r="CY2" s="92"/>
      <c r="CZ2" s="92"/>
      <c r="DA2" s="92"/>
      <c r="DB2" s="92"/>
      <c r="DC2" s="92"/>
      <c r="DD2" s="92"/>
      <c r="DE2" s="92"/>
      <c r="DF2" s="92"/>
      <c r="DG2" s="92"/>
      <c r="DH2" s="92"/>
      <c r="DI2" s="92"/>
      <c r="DJ2" s="92"/>
      <c r="DK2" s="92"/>
      <c r="DL2" s="92"/>
      <c r="DM2" s="92"/>
      <c r="DN2" s="92"/>
      <c r="DO2" s="92"/>
      <c r="DP2" s="92"/>
      <c r="DQ2" s="92"/>
      <c r="DR2" s="92"/>
      <c r="DS2" s="92"/>
      <c r="DT2" s="92"/>
      <c r="DU2" s="92"/>
    </row>
    <row r="3" spans="1:129" ht="12.75" customHeight="1" x14ac:dyDescent="0.45">
      <c r="A3" s="103" t="s">
        <v>453</v>
      </c>
      <c r="B3" s="103"/>
      <c r="C3" s="103"/>
      <c r="D3" s="103"/>
      <c r="E3" s="103"/>
      <c r="F3" s="103"/>
      <c r="G3" s="103"/>
      <c r="H3" s="103"/>
      <c r="I3" s="103"/>
      <c r="J3" s="103"/>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02"/>
      <c r="DI3" s="102"/>
      <c r="DJ3" s="102"/>
      <c r="DK3" s="102"/>
      <c r="DL3" s="102"/>
      <c r="DM3" s="102"/>
      <c r="DN3" s="102"/>
      <c r="DO3" s="102"/>
      <c r="DP3" s="102"/>
      <c r="DQ3" s="102"/>
      <c r="DR3" s="102"/>
      <c r="DS3" s="64"/>
      <c r="DT3" s="64"/>
      <c r="DU3" s="64"/>
      <c r="DV3" s="65"/>
      <c r="DW3" s="65"/>
      <c r="DX3" s="65"/>
      <c r="DY3" s="65"/>
    </row>
    <row r="4" spans="1:129" ht="18" customHeight="1" x14ac:dyDescent="0.45">
      <c r="A4" s="32" t="s">
        <v>31</v>
      </c>
      <c r="B4" s="32" t="s">
        <v>454</v>
      </c>
      <c r="C4" s="32" t="s">
        <v>37</v>
      </c>
      <c r="D4" s="32" t="s">
        <v>411</v>
      </c>
      <c r="E4" s="32" t="s">
        <v>455</v>
      </c>
      <c r="F4" s="32" t="s">
        <v>456</v>
      </c>
      <c r="G4" s="32" t="s">
        <v>457</v>
      </c>
      <c r="H4" s="32" t="s">
        <v>458</v>
      </c>
      <c r="I4" s="32" t="s">
        <v>459</v>
      </c>
      <c r="J4" s="32" t="s">
        <v>460</v>
      </c>
      <c r="K4" s="33">
        <v>46181</v>
      </c>
      <c r="L4" s="33">
        <v>46182</v>
      </c>
      <c r="M4" s="33">
        <v>46183</v>
      </c>
      <c r="N4" s="33">
        <v>46184</v>
      </c>
      <c r="O4" s="33">
        <v>46185</v>
      </c>
      <c r="P4" s="33">
        <v>46186</v>
      </c>
      <c r="Q4" s="33">
        <v>46187</v>
      </c>
      <c r="R4" s="33">
        <v>46188</v>
      </c>
      <c r="S4" s="33">
        <v>46189</v>
      </c>
      <c r="T4" s="33">
        <v>46190</v>
      </c>
      <c r="U4" s="33">
        <v>46191</v>
      </c>
      <c r="V4" s="33">
        <v>46192</v>
      </c>
      <c r="W4" s="33">
        <v>46193</v>
      </c>
      <c r="X4" s="33">
        <v>46194</v>
      </c>
      <c r="Y4" s="33">
        <v>46195</v>
      </c>
      <c r="Z4" s="33">
        <v>46196</v>
      </c>
      <c r="AA4" s="33">
        <v>46197</v>
      </c>
      <c r="AB4" s="33">
        <v>46198</v>
      </c>
      <c r="AC4" s="33">
        <v>46199</v>
      </c>
      <c r="AD4" s="33">
        <v>46200</v>
      </c>
      <c r="AE4" s="33">
        <v>46201</v>
      </c>
      <c r="AF4" s="33">
        <v>46202</v>
      </c>
      <c r="AG4" s="33">
        <v>46203</v>
      </c>
      <c r="AH4" s="33">
        <v>46204</v>
      </c>
      <c r="AI4" s="33">
        <v>46205</v>
      </c>
      <c r="AJ4" s="33">
        <v>46206</v>
      </c>
      <c r="AK4" s="33">
        <v>46207</v>
      </c>
      <c r="AL4" s="33">
        <v>46208</v>
      </c>
      <c r="AM4" s="33">
        <v>46209</v>
      </c>
      <c r="AN4" s="33">
        <v>46210</v>
      </c>
      <c r="AO4" s="33">
        <v>46211</v>
      </c>
      <c r="AP4" s="33">
        <v>46212</v>
      </c>
      <c r="AQ4" s="33">
        <v>46213</v>
      </c>
      <c r="AR4" s="33">
        <v>46214</v>
      </c>
      <c r="AS4" s="33">
        <v>46215</v>
      </c>
      <c r="AT4" s="33">
        <v>46216</v>
      </c>
      <c r="AU4" s="33">
        <v>46217</v>
      </c>
      <c r="AV4" s="33">
        <v>46218</v>
      </c>
      <c r="AW4" s="33">
        <v>46219</v>
      </c>
      <c r="AX4" s="33">
        <v>46220</v>
      </c>
      <c r="AY4" s="33">
        <v>46221</v>
      </c>
      <c r="AZ4" s="33">
        <v>46222</v>
      </c>
      <c r="BA4" s="33">
        <v>46223</v>
      </c>
      <c r="BB4" s="33">
        <v>46224</v>
      </c>
      <c r="BC4" s="33">
        <v>46225</v>
      </c>
      <c r="BD4" s="33">
        <v>46226</v>
      </c>
      <c r="BE4" s="33">
        <v>46227</v>
      </c>
      <c r="BF4" s="33">
        <v>46228</v>
      </c>
      <c r="BG4" s="33">
        <v>46229</v>
      </c>
      <c r="BH4" s="33">
        <v>46230</v>
      </c>
      <c r="BI4" s="33">
        <v>46231</v>
      </c>
      <c r="BJ4" s="33">
        <v>46232</v>
      </c>
      <c r="BK4" s="33">
        <v>46233</v>
      </c>
      <c r="BL4" s="33">
        <v>46234</v>
      </c>
      <c r="BM4" s="33">
        <v>46235</v>
      </c>
      <c r="BN4" s="33">
        <v>46236</v>
      </c>
      <c r="BO4" s="33">
        <v>46237</v>
      </c>
      <c r="BP4" s="33">
        <v>46238</v>
      </c>
      <c r="BQ4" s="33">
        <v>46239</v>
      </c>
      <c r="BR4" s="33">
        <v>46240</v>
      </c>
      <c r="BS4" s="33">
        <v>46241</v>
      </c>
      <c r="BT4" s="33">
        <v>46242</v>
      </c>
      <c r="BU4" s="33">
        <v>46243</v>
      </c>
      <c r="BV4" s="33">
        <v>46244</v>
      </c>
      <c r="BW4" s="33">
        <v>46245</v>
      </c>
      <c r="BX4" s="33">
        <v>46246</v>
      </c>
      <c r="BY4" s="33">
        <v>46247</v>
      </c>
      <c r="BZ4" s="33">
        <v>46248</v>
      </c>
      <c r="CA4" s="33">
        <v>46249</v>
      </c>
      <c r="CB4" s="33">
        <v>46250</v>
      </c>
      <c r="CC4" s="33">
        <v>46251</v>
      </c>
      <c r="CD4" s="33">
        <v>46252</v>
      </c>
      <c r="CE4" s="33">
        <v>46253</v>
      </c>
      <c r="CF4" s="33">
        <v>46254</v>
      </c>
      <c r="CG4" s="33">
        <v>46255</v>
      </c>
      <c r="CH4" s="33">
        <v>46256</v>
      </c>
      <c r="CI4" s="33">
        <v>46257</v>
      </c>
      <c r="CJ4" s="33">
        <v>46258</v>
      </c>
      <c r="CK4" s="33">
        <v>46259</v>
      </c>
      <c r="CL4" s="33">
        <v>46260</v>
      </c>
      <c r="CM4" s="33">
        <v>46261</v>
      </c>
      <c r="CN4" s="33">
        <v>46262</v>
      </c>
      <c r="CO4" s="33">
        <v>46263</v>
      </c>
      <c r="CP4" s="33">
        <v>46264</v>
      </c>
      <c r="CQ4" s="33">
        <v>46265</v>
      </c>
      <c r="CR4" s="33">
        <v>46266</v>
      </c>
      <c r="CS4" s="33">
        <v>46267</v>
      </c>
      <c r="CT4" s="33">
        <v>46268</v>
      </c>
      <c r="CU4" s="33">
        <v>46269</v>
      </c>
      <c r="CV4" s="33">
        <v>46270</v>
      </c>
      <c r="CW4" s="33">
        <v>46271</v>
      </c>
      <c r="CX4" s="33">
        <v>46272</v>
      </c>
      <c r="CY4" s="33">
        <v>46273</v>
      </c>
      <c r="CZ4" s="33">
        <v>46274</v>
      </c>
      <c r="DA4" s="33">
        <v>46275</v>
      </c>
      <c r="DB4" s="33">
        <v>46276</v>
      </c>
      <c r="DC4" s="33">
        <v>46277</v>
      </c>
      <c r="DD4" s="33">
        <v>46278</v>
      </c>
      <c r="DE4" s="33">
        <v>46279</v>
      </c>
      <c r="DF4" s="33">
        <v>46280</v>
      </c>
      <c r="DG4" s="33">
        <v>46281</v>
      </c>
      <c r="DH4" s="33">
        <v>46282</v>
      </c>
      <c r="DI4" s="33">
        <v>46283</v>
      </c>
      <c r="DJ4" s="33">
        <v>46284</v>
      </c>
      <c r="DK4" s="33">
        <v>46285</v>
      </c>
      <c r="DL4" s="33">
        <v>46286</v>
      </c>
      <c r="DM4" s="33">
        <v>46287</v>
      </c>
      <c r="DN4" s="33">
        <v>46288</v>
      </c>
      <c r="DO4" s="33">
        <v>46289</v>
      </c>
      <c r="DP4" s="33">
        <v>46290</v>
      </c>
      <c r="DQ4" s="33">
        <v>46291</v>
      </c>
      <c r="DR4" s="33">
        <v>46292</v>
      </c>
      <c r="DS4" s="33">
        <v>46293</v>
      </c>
      <c r="DT4" s="33">
        <v>46294</v>
      </c>
      <c r="DU4" s="33">
        <v>46295</v>
      </c>
    </row>
    <row r="5" spans="1:129" ht="18" customHeight="1" x14ac:dyDescent="0.45">
      <c r="A5" s="34" t="str">
        <f>'Remediation Index'!A2</f>
        <v>1. Firewalls</v>
      </c>
      <c r="B5" s="34" t="str">
        <f>'Remediation Index'!B2</f>
        <v>FW-01</v>
      </c>
      <c r="C5" s="34" t="str">
        <f>'Remediation Index'!C2</f>
        <v>Firewall Coverage</v>
      </c>
      <c r="D5" s="3" t="s">
        <v>135</v>
      </c>
      <c r="E5" s="35">
        <f t="shared" ref="E5:E36" si="0">IF(ISNUMBER($F$2),$F$2,DATE(2026,6,9))</f>
        <v>46195</v>
      </c>
      <c r="F5" s="35">
        <f t="shared" ref="F5:F36" si="1">IF(ISNUMBER($F$2),$F$2+30,DATE(2026,7,9))</f>
        <v>46225</v>
      </c>
      <c r="G5" s="36">
        <f t="shared" ref="G5:G36" si="2">IF(AND(ISNUMBER(E5),ISNUMBER(F5)),F5-E5,0)</f>
        <v>30</v>
      </c>
      <c r="H5" s="37">
        <v>0</v>
      </c>
      <c r="I5" s="38" t="str">
        <f t="shared" ref="I5:I36" si="3">IF(H5="","",IF(H5=0,"Not Started",IF(H5&gt;=1,"Complete","In Progress")))</f>
        <v>Not Started</v>
      </c>
      <c r="J5" s="3"/>
    </row>
    <row r="6" spans="1:129" ht="18" customHeight="1" x14ac:dyDescent="0.45">
      <c r="A6" s="34" t="str">
        <f>'Remediation Index'!A3</f>
        <v>1. Firewalls</v>
      </c>
      <c r="B6" s="34" t="str">
        <f>'Remediation Index'!B3</f>
        <v>FW-02</v>
      </c>
      <c r="C6" s="34" t="str">
        <f>'Remediation Index'!C3</f>
        <v>Software Firewall on Untrusted Networks</v>
      </c>
      <c r="D6" s="3" t="s">
        <v>144</v>
      </c>
      <c r="E6" s="35">
        <f t="shared" si="0"/>
        <v>46195</v>
      </c>
      <c r="F6" s="35">
        <f t="shared" si="1"/>
        <v>46225</v>
      </c>
      <c r="G6" s="36">
        <f t="shared" si="2"/>
        <v>30</v>
      </c>
      <c r="H6" s="37">
        <v>0</v>
      </c>
      <c r="I6" s="38" t="str">
        <f t="shared" si="3"/>
        <v>Not Started</v>
      </c>
      <c r="J6" s="3"/>
    </row>
    <row r="7" spans="1:129" ht="18" customHeight="1" x14ac:dyDescent="0.45">
      <c r="A7" s="34" t="str">
        <f>'Remediation Index'!A4</f>
        <v>1. Firewalls</v>
      </c>
      <c r="B7" s="34" t="str">
        <f>'Remediation Index'!B4</f>
        <v>FW-03</v>
      </c>
      <c r="C7" s="34" t="str">
        <f>'Remediation Index'!C4</f>
        <v>Default Administrative Password Change</v>
      </c>
      <c r="D7" s="3" t="s">
        <v>135</v>
      </c>
      <c r="E7" s="35">
        <f t="shared" si="0"/>
        <v>46195</v>
      </c>
      <c r="F7" s="35">
        <f t="shared" si="1"/>
        <v>46225</v>
      </c>
      <c r="G7" s="36">
        <f t="shared" si="2"/>
        <v>30</v>
      </c>
      <c r="H7" s="37">
        <v>0</v>
      </c>
      <c r="I7" s="38" t="str">
        <f t="shared" si="3"/>
        <v>Not Started</v>
      </c>
      <c r="J7" s="3"/>
    </row>
    <row r="8" spans="1:129" ht="18" customHeight="1" x14ac:dyDescent="0.45">
      <c r="A8" s="34" t="str">
        <f>'Remediation Index'!A5</f>
        <v>1. Firewalls</v>
      </c>
      <c r="B8" s="34" t="str">
        <f>'Remediation Index'!B5</f>
        <v>FW-04</v>
      </c>
      <c r="C8" s="34" t="str">
        <f>'Remediation Index'!C5</f>
        <v>Administrative Interface Access Control</v>
      </c>
      <c r="D8" s="3" t="s">
        <v>135</v>
      </c>
      <c r="E8" s="35">
        <f t="shared" si="0"/>
        <v>46195</v>
      </c>
      <c r="F8" s="35">
        <f t="shared" si="1"/>
        <v>46225</v>
      </c>
      <c r="G8" s="36">
        <f t="shared" si="2"/>
        <v>30</v>
      </c>
      <c r="H8" s="37">
        <v>0</v>
      </c>
      <c r="I8" s="38" t="str">
        <f t="shared" si="3"/>
        <v>Not Started</v>
      </c>
      <c r="J8" s="3"/>
    </row>
    <row r="9" spans="1:129" ht="18" customHeight="1" x14ac:dyDescent="0.45">
      <c r="A9" s="34" t="str">
        <f>'Remediation Index'!A6</f>
        <v>1. Firewalls</v>
      </c>
      <c r="B9" s="34" t="str">
        <f>'Remediation Index'!B6</f>
        <v>FW-05</v>
      </c>
      <c r="C9" s="34" t="str">
        <f>'Remediation Index'!C6</f>
        <v>Block Unauthenticated Inbound Connections</v>
      </c>
      <c r="D9" s="3" t="s">
        <v>135</v>
      </c>
      <c r="E9" s="35">
        <f t="shared" si="0"/>
        <v>46195</v>
      </c>
      <c r="F9" s="35">
        <f t="shared" si="1"/>
        <v>46225</v>
      </c>
      <c r="G9" s="36">
        <f t="shared" si="2"/>
        <v>30</v>
      </c>
      <c r="H9" s="37">
        <v>0</v>
      </c>
      <c r="I9" s="38" t="str">
        <f t="shared" si="3"/>
        <v>Not Started</v>
      </c>
      <c r="J9" s="3"/>
    </row>
    <row r="10" spans="1:129" ht="18" customHeight="1" x14ac:dyDescent="0.45">
      <c r="A10" s="34" t="str">
        <f>'Remediation Index'!A7</f>
        <v>1. Firewalls</v>
      </c>
      <c r="B10" s="34" t="str">
        <f>'Remediation Index'!B7</f>
        <v>FW-06</v>
      </c>
      <c r="C10" s="34" t="str">
        <f>'Remediation Index'!C7</f>
        <v>Inbound Rule Approval and Documentation</v>
      </c>
      <c r="D10" s="3" t="s">
        <v>135</v>
      </c>
      <c r="E10" s="35">
        <f t="shared" si="0"/>
        <v>46195</v>
      </c>
      <c r="F10" s="35">
        <f t="shared" si="1"/>
        <v>46225</v>
      </c>
      <c r="G10" s="36">
        <f t="shared" si="2"/>
        <v>30</v>
      </c>
      <c r="H10" s="37">
        <v>0</v>
      </c>
      <c r="I10" s="38" t="str">
        <f t="shared" si="3"/>
        <v>Not Started</v>
      </c>
      <c r="J10" s="3"/>
    </row>
    <row r="11" spans="1:129" ht="18" customHeight="1" x14ac:dyDescent="0.45">
      <c r="A11" s="34" t="str">
        <f>'Remediation Index'!A8</f>
        <v>1. Firewalls</v>
      </c>
      <c r="B11" s="34" t="str">
        <f>'Remediation Index'!B8</f>
        <v>FW-07</v>
      </c>
      <c r="C11" s="34" t="str">
        <f>'Remediation Index'!C8</f>
        <v>Removal of Unnecessary Firewall Rules</v>
      </c>
      <c r="D11" s="3" t="s">
        <v>135</v>
      </c>
      <c r="E11" s="35">
        <f t="shared" si="0"/>
        <v>46195</v>
      </c>
      <c r="F11" s="35">
        <f t="shared" si="1"/>
        <v>46225</v>
      </c>
      <c r="G11" s="36">
        <f t="shared" si="2"/>
        <v>30</v>
      </c>
      <c r="H11" s="37">
        <v>0</v>
      </c>
      <c r="I11" s="38" t="str">
        <f t="shared" si="3"/>
        <v>Not Started</v>
      </c>
      <c r="J11" s="3"/>
    </row>
    <row r="12" spans="1:129" ht="18" customHeight="1" x14ac:dyDescent="0.45">
      <c r="A12" s="39" t="str">
        <f>'Remediation Index'!A9</f>
        <v>2. Secure Configuration</v>
      </c>
      <c r="B12" s="39" t="str">
        <f>'Remediation Index'!B9</f>
        <v>SC-01</v>
      </c>
      <c r="C12" s="39" t="str">
        <f>'Remediation Index'!C9</f>
        <v>Removal of Unnecessary User Accounts</v>
      </c>
      <c r="D12" s="3" t="s">
        <v>192</v>
      </c>
      <c r="E12" s="35">
        <f t="shared" si="0"/>
        <v>46195</v>
      </c>
      <c r="F12" s="35">
        <f t="shared" si="1"/>
        <v>46225</v>
      </c>
      <c r="G12" s="36">
        <f t="shared" si="2"/>
        <v>30</v>
      </c>
      <c r="H12" s="37">
        <v>0</v>
      </c>
      <c r="I12" s="38" t="str">
        <f t="shared" si="3"/>
        <v>Not Started</v>
      </c>
      <c r="J12" s="3"/>
    </row>
    <row r="13" spans="1:129" ht="18" customHeight="1" x14ac:dyDescent="0.45">
      <c r="A13" s="39" t="str">
        <f>'Remediation Index'!A10</f>
        <v>2. Secure Configuration</v>
      </c>
      <c r="B13" s="39" t="str">
        <f>'Remediation Index'!B10</f>
        <v>SC-02</v>
      </c>
      <c r="C13" s="39" t="str">
        <f>'Remediation Index'!C10</f>
        <v>Default and Guessable Password Changes</v>
      </c>
      <c r="D13" s="3" t="s">
        <v>192</v>
      </c>
      <c r="E13" s="35">
        <f t="shared" si="0"/>
        <v>46195</v>
      </c>
      <c r="F13" s="35">
        <f t="shared" si="1"/>
        <v>46225</v>
      </c>
      <c r="G13" s="36">
        <f t="shared" si="2"/>
        <v>30</v>
      </c>
      <c r="H13" s="37">
        <v>0</v>
      </c>
      <c r="I13" s="38" t="str">
        <f t="shared" si="3"/>
        <v>Not Started</v>
      </c>
      <c r="J13" s="3"/>
    </row>
    <row r="14" spans="1:129" ht="18" customHeight="1" x14ac:dyDescent="0.45">
      <c r="A14" s="39" t="str">
        <f>'Remediation Index'!A11</f>
        <v>2. Secure Configuration</v>
      </c>
      <c r="B14" s="39" t="str">
        <f>'Remediation Index'!B11</f>
        <v>SC-03</v>
      </c>
      <c r="C14" s="39" t="str">
        <f>'Remediation Index'!C11</f>
        <v>Removal of Unnecessary Software</v>
      </c>
      <c r="D14" s="3" t="s">
        <v>144</v>
      </c>
      <c r="E14" s="35">
        <f t="shared" si="0"/>
        <v>46195</v>
      </c>
      <c r="F14" s="35">
        <f t="shared" si="1"/>
        <v>46225</v>
      </c>
      <c r="G14" s="36">
        <f t="shared" si="2"/>
        <v>30</v>
      </c>
      <c r="H14" s="37">
        <v>0</v>
      </c>
      <c r="I14" s="38" t="str">
        <f t="shared" si="3"/>
        <v>Not Started</v>
      </c>
      <c r="J14" s="3"/>
    </row>
    <row r="15" spans="1:129" ht="18" customHeight="1" x14ac:dyDescent="0.45">
      <c r="A15" s="39" t="str">
        <f>'Remediation Index'!A12</f>
        <v>2. Secure Configuration</v>
      </c>
      <c r="B15" s="39" t="str">
        <f>'Remediation Index'!B12</f>
        <v>SC-04</v>
      </c>
      <c r="C15" s="39" t="str">
        <f>'Remediation Index'!C12</f>
        <v>Auto-run Disabled</v>
      </c>
      <c r="D15" s="3" t="s">
        <v>144</v>
      </c>
      <c r="E15" s="35">
        <f t="shared" si="0"/>
        <v>46195</v>
      </c>
      <c r="F15" s="35">
        <f t="shared" si="1"/>
        <v>46225</v>
      </c>
      <c r="G15" s="36">
        <f t="shared" si="2"/>
        <v>30</v>
      </c>
      <c r="H15" s="37">
        <v>0</v>
      </c>
      <c r="I15" s="38" t="str">
        <f t="shared" si="3"/>
        <v>Not Started</v>
      </c>
      <c r="J15" s="3"/>
    </row>
    <row r="16" spans="1:129" ht="18" customHeight="1" x14ac:dyDescent="0.45">
      <c r="A16" s="39" t="str">
        <f>'Remediation Index'!A13</f>
        <v>2. Secure Configuration</v>
      </c>
      <c r="B16" s="39" t="str">
        <f>'Remediation Index'!B13</f>
        <v>SC-05</v>
      </c>
      <c r="C16" s="39" t="str">
        <f>'Remediation Index'!C13</f>
        <v>Authentication Before Data Access</v>
      </c>
      <c r="D16" s="3" t="s">
        <v>192</v>
      </c>
      <c r="E16" s="35">
        <f t="shared" si="0"/>
        <v>46195</v>
      </c>
      <c r="F16" s="35">
        <f t="shared" si="1"/>
        <v>46225</v>
      </c>
      <c r="G16" s="36">
        <f t="shared" si="2"/>
        <v>30</v>
      </c>
      <c r="H16" s="37">
        <v>0</v>
      </c>
      <c r="I16" s="38" t="str">
        <f t="shared" si="3"/>
        <v>Not Started</v>
      </c>
      <c r="J16" s="3"/>
    </row>
    <row r="17" spans="1:10" ht="18" customHeight="1" x14ac:dyDescent="0.45">
      <c r="A17" s="39" t="str">
        <f>'Remediation Index'!A14</f>
        <v>2. Secure Configuration</v>
      </c>
      <c r="B17" s="39" t="str">
        <f>'Remediation Index'!B14</f>
        <v>SC-06</v>
      </c>
      <c r="C17" s="39" t="str">
        <f>'Remediation Index'!C14</f>
        <v>Device Locking Controls</v>
      </c>
      <c r="D17" s="3" t="s">
        <v>144</v>
      </c>
      <c r="E17" s="35">
        <f t="shared" si="0"/>
        <v>46195</v>
      </c>
      <c r="F17" s="35">
        <f t="shared" si="1"/>
        <v>46225</v>
      </c>
      <c r="G17" s="36">
        <f t="shared" si="2"/>
        <v>30</v>
      </c>
      <c r="H17" s="37">
        <v>0</v>
      </c>
      <c r="I17" s="38" t="str">
        <f t="shared" si="3"/>
        <v>Not Started</v>
      </c>
      <c r="J17" s="3"/>
    </row>
    <row r="18" spans="1:10" ht="18" customHeight="1" x14ac:dyDescent="0.45">
      <c r="A18" s="39" t="str">
        <f>'Remediation Index'!A15</f>
        <v>2. Secure Configuration</v>
      </c>
      <c r="B18" s="39" t="str">
        <f>'Remediation Index'!B15</f>
        <v>SC-07</v>
      </c>
      <c r="C18" s="39" t="str">
        <f>'Remediation Index'!C15</f>
        <v>Brute-force Protection for Device Unlock</v>
      </c>
      <c r="D18" s="3" t="s">
        <v>144</v>
      </c>
      <c r="E18" s="35">
        <f t="shared" si="0"/>
        <v>46195</v>
      </c>
      <c r="F18" s="35">
        <f t="shared" si="1"/>
        <v>46225</v>
      </c>
      <c r="G18" s="36">
        <f t="shared" si="2"/>
        <v>30</v>
      </c>
      <c r="H18" s="37">
        <v>0</v>
      </c>
      <c r="I18" s="38" t="str">
        <f t="shared" si="3"/>
        <v>Not Started</v>
      </c>
      <c r="J18" s="3"/>
    </row>
    <row r="19" spans="1:10" ht="18" customHeight="1" x14ac:dyDescent="0.45">
      <c r="A19" s="39" t="str">
        <f>'Remediation Index'!A16</f>
        <v>2. Secure Configuration</v>
      </c>
      <c r="B19" s="39" t="str">
        <f>'Remediation Index'!B16</f>
        <v>SC-08</v>
      </c>
      <c r="C19" s="39" t="str">
        <f>'Remediation Index'!C16</f>
        <v>Minimum Credential Length for Device Unlock</v>
      </c>
      <c r="D19" s="3" t="s">
        <v>144</v>
      </c>
      <c r="E19" s="35">
        <f t="shared" si="0"/>
        <v>46195</v>
      </c>
      <c r="F19" s="35">
        <f t="shared" si="1"/>
        <v>46225</v>
      </c>
      <c r="G19" s="36">
        <f t="shared" si="2"/>
        <v>30</v>
      </c>
      <c r="H19" s="37">
        <v>0</v>
      </c>
      <c r="I19" s="38" t="str">
        <f t="shared" si="3"/>
        <v>Not Started</v>
      </c>
      <c r="J19" s="3"/>
    </row>
    <row r="20" spans="1:10" ht="18" customHeight="1" x14ac:dyDescent="0.45">
      <c r="A20" s="46" t="str">
        <f>'Remediation Index'!A17</f>
        <v>3. Security Update Management</v>
      </c>
      <c r="B20" s="40" t="str">
        <f>'Remediation Index'!B17</f>
        <v>SUM-01</v>
      </c>
      <c r="C20" s="40" t="str">
        <f>'Remediation Index'!C17</f>
        <v>Licensed and Supported Software</v>
      </c>
      <c r="D20" s="3" t="s">
        <v>255</v>
      </c>
      <c r="E20" s="35">
        <f t="shared" si="0"/>
        <v>46195</v>
      </c>
      <c r="F20" s="35">
        <f t="shared" si="1"/>
        <v>46225</v>
      </c>
      <c r="G20" s="36">
        <f t="shared" si="2"/>
        <v>30</v>
      </c>
      <c r="H20" s="37">
        <v>0</v>
      </c>
      <c r="I20" s="38" t="str">
        <f t="shared" si="3"/>
        <v>Not Started</v>
      </c>
      <c r="J20" s="3"/>
    </row>
    <row r="21" spans="1:10" ht="18" customHeight="1" x14ac:dyDescent="0.45">
      <c r="A21" s="40" t="str">
        <f>'Remediation Index'!A18</f>
        <v>3. Security Update Management</v>
      </c>
      <c r="B21" s="40" t="str">
        <f>'Remediation Index'!B18</f>
        <v>SUM-02</v>
      </c>
      <c r="C21" s="40" t="str">
        <f>'Remediation Index'!C18</f>
        <v>Removal of Unsupported Software</v>
      </c>
      <c r="D21" s="3" t="s">
        <v>255</v>
      </c>
      <c r="E21" s="35">
        <f t="shared" si="0"/>
        <v>46195</v>
      </c>
      <c r="F21" s="35">
        <f t="shared" si="1"/>
        <v>46225</v>
      </c>
      <c r="G21" s="36">
        <f t="shared" si="2"/>
        <v>30</v>
      </c>
      <c r="H21" s="37">
        <v>0</v>
      </c>
      <c r="I21" s="38" t="str">
        <f t="shared" si="3"/>
        <v>Not Started</v>
      </c>
      <c r="J21" s="3"/>
    </row>
    <row r="22" spans="1:10" ht="18" customHeight="1" x14ac:dyDescent="0.45">
      <c r="A22" s="45" t="str">
        <f>'Remediation Index'!A19</f>
        <v>3. Security Update Management</v>
      </c>
      <c r="B22" s="40" t="str">
        <f>'Remediation Index'!B19</f>
        <v>SUM-03</v>
      </c>
      <c r="C22" s="40" t="str">
        <f>'Remediation Index'!C19</f>
        <v>Automatic Updates Enabled</v>
      </c>
      <c r="D22" s="3" t="s">
        <v>270</v>
      </c>
      <c r="E22" s="35">
        <f t="shared" si="0"/>
        <v>46195</v>
      </c>
      <c r="F22" s="35">
        <f t="shared" si="1"/>
        <v>46225</v>
      </c>
      <c r="G22" s="36">
        <f t="shared" si="2"/>
        <v>30</v>
      </c>
      <c r="H22" s="37">
        <v>0</v>
      </c>
      <c r="I22" s="38" t="str">
        <f t="shared" si="3"/>
        <v>Not Started</v>
      </c>
      <c r="J22" s="3"/>
    </row>
    <row r="23" spans="1:10" ht="18" customHeight="1" x14ac:dyDescent="0.45">
      <c r="A23" s="40" t="str">
        <f>'Remediation Index'!A20</f>
        <v>3. Security Update Management</v>
      </c>
      <c r="B23" s="40" t="str">
        <f>'Remediation Index'!B20</f>
        <v>SUM-04</v>
      </c>
      <c r="C23" s="40" t="str">
        <f>'Remediation Index'!C20</f>
        <v>Critical Updates Applied Within 14 Days</v>
      </c>
      <c r="D23" s="3" t="s">
        <v>270</v>
      </c>
      <c r="E23" s="35">
        <f t="shared" si="0"/>
        <v>46195</v>
      </c>
      <c r="F23" s="35">
        <f t="shared" si="1"/>
        <v>46225</v>
      </c>
      <c r="G23" s="36">
        <f t="shared" si="2"/>
        <v>30</v>
      </c>
      <c r="H23" s="37">
        <v>0</v>
      </c>
      <c r="I23" s="38" t="str">
        <f t="shared" si="3"/>
        <v>Not Started</v>
      </c>
      <c r="J23" s="3"/>
    </row>
    <row r="24" spans="1:10" ht="18" customHeight="1" x14ac:dyDescent="0.45">
      <c r="A24" s="41" t="str">
        <f>'Remediation Index'!A21</f>
        <v>4. User Access Control</v>
      </c>
      <c r="B24" s="41" t="str">
        <f>'Remediation Index'!B21</f>
        <v>UAC-01</v>
      </c>
      <c r="C24" s="41" t="str">
        <f>'Remediation Index'!C21</f>
        <v>User Account Approval Process</v>
      </c>
      <c r="D24" s="3" t="s">
        <v>192</v>
      </c>
      <c r="E24" s="35">
        <f t="shared" si="0"/>
        <v>46195</v>
      </c>
      <c r="F24" s="35">
        <f t="shared" si="1"/>
        <v>46225</v>
      </c>
      <c r="G24" s="36">
        <f t="shared" si="2"/>
        <v>30</v>
      </c>
      <c r="H24" s="37">
        <v>0</v>
      </c>
      <c r="I24" s="38" t="str">
        <f t="shared" si="3"/>
        <v>Not Started</v>
      </c>
      <c r="J24" s="3"/>
    </row>
    <row r="25" spans="1:10" ht="18" customHeight="1" x14ac:dyDescent="0.45">
      <c r="A25" s="41" t="str">
        <f>'Remediation Index'!A22</f>
        <v>4. User Access Control</v>
      </c>
      <c r="B25" s="41" t="str">
        <f>'Remediation Index'!B22</f>
        <v>UAC-02</v>
      </c>
      <c r="C25" s="41" t="str">
        <f>'Remediation Index'!C22</f>
        <v>Unique Credentials for Authentication</v>
      </c>
      <c r="D25" s="3" t="s">
        <v>192</v>
      </c>
      <c r="E25" s="35">
        <f t="shared" si="0"/>
        <v>46195</v>
      </c>
      <c r="F25" s="35">
        <f t="shared" si="1"/>
        <v>46225</v>
      </c>
      <c r="G25" s="36">
        <f t="shared" si="2"/>
        <v>30</v>
      </c>
      <c r="H25" s="37">
        <v>0</v>
      </c>
      <c r="I25" s="38" t="str">
        <f t="shared" si="3"/>
        <v>Not Started</v>
      </c>
      <c r="J25" s="3"/>
    </row>
    <row r="26" spans="1:10" ht="18" customHeight="1" x14ac:dyDescent="0.45">
      <c r="A26" s="41" t="str">
        <f>'Remediation Index'!A23</f>
        <v>4. User Access Control</v>
      </c>
      <c r="B26" s="41" t="str">
        <f>'Remediation Index'!B23</f>
        <v>UAC-03</v>
      </c>
      <c r="C26" s="41" t="str">
        <f>'Remediation Index'!C23</f>
        <v>Removal of Redundant User Accounts</v>
      </c>
      <c r="D26" s="3" t="s">
        <v>192</v>
      </c>
      <c r="E26" s="35">
        <f t="shared" si="0"/>
        <v>46195</v>
      </c>
      <c r="F26" s="35">
        <f t="shared" si="1"/>
        <v>46225</v>
      </c>
      <c r="G26" s="36">
        <f t="shared" si="2"/>
        <v>30</v>
      </c>
      <c r="H26" s="37">
        <v>0</v>
      </c>
      <c r="I26" s="38" t="str">
        <f t="shared" si="3"/>
        <v>Not Started</v>
      </c>
      <c r="J26" s="3"/>
    </row>
    <row r="27" spans="1:10" ht="18" customHeight="1" x14ac:dyDescent="0.45">
      <c r="A27" s="41" t="str">
        <f>'Remediation Index'!A24</f>
        <v>4. User Access Control</v>
      </c>
      <c r="B27" s="41" t="str">
        <f>'Remediation Index'!B24</f>
        <v>UAC-04</v>
      </c>
      <c r="C27" s="41" t="str">
        <f>'Remediation Index'!C24</f>
        <v>Multi-factor Authentication</v>
      </c>
      <c r="D27" s="3" t="s">
        <v>192</v>
      </c>
      <c r="E27" s="35">
        <f t="shared" si="0"/>
        <v>46195</v>
      </c>
      <c r="F27" s="35">
        <f t="shared" si="1"/>
        <v>46225</v>
      </c>
      <c r="G27" s="36">
        <f t="shared" si="2"/>
        <v>30</v>
      </c>
      <c r="H27" s="37">
        <v>0</v>
      </c>
      <c r="I27" s="38" t="str">
        <f t="shared" si="3"/>
        <v>Not Started</v>
      </c>
      <c r="J27" s="3"/>
    </row>
    <row r="28" spans="1:10" ht="18" customHeight="1" x14ac:dyDescent="0.45">
      <c r="A28" s="41" t="str">
        <f>'Remediation Index'!A25</f>
        <v>4. User Access Control</v>
      </c>
      <c r="B28" s="41" t="str">
        <f>'Remediation Index'!B25</f>
        <v>UAC-05</v>
      </c>
      <c r="C28" s="41" t="str">
        <f>'Remediation Index'!C25</f>
        <v>Separate Administrative Accounts</v>
      </c>
      <c r="D28" s="3" t="s">
        <v>192</v>
      </c>
      <c r="E28" s="35">
        <f t="shared" si="0"/>
        <v>46195</v>
      </c>
      <c r="F28" s="35">
        <f t="shared" si="1"/>
        <v>46225</v>
      </c>
      <c r="G28" s="36">
        <f t="shared" si="2"/>
        <v>30</v>
      </c>
      <c r="H28" s="37">
        <v>0</v>
      </c>
      <c r="I28" s="38" t="str">
        <f t="shared" si="3"/>
        <v>Not Started</v>
      </c>
      <c r="J28" s="3"/>
    </row>
    <row r="29" spans="1:10" ht="18" customHeight="1" x14ac:dyDescent="0.45">
      <c r="A29" s="41" t="str">
        <f>'Remediation Index'!A26</f>
        <v>4. User Access Control</v>
      </c>
      <c r="B29" s="41" t="str">
        <f>'Remediation Index'!B26</f>
        <v>UAC-06</v>
      </c>
      <c r="C29" s="41" t="str">
        <f>'Remediation Index'!C26</f>
        <v>Removal of Unnecessary Privileges</v>
      </c>
      <c r="D29" s="3" t="s">
        <v>192</v>
      </c>
      <c r="E29" s="35">
        <f t="shared" si="0"/>
        <v>46195</v>
      </c>
      <c r="F29" s="35">
        <f t="shared" si="1"/>
        <v>46225</v>
      </c>
      <c r="G29" s="36">
        <f t="shared" si="2"/>
        <v>30</v>
      </c>
      <c r="H29" s="37">
        <v>0</v>
      </c>
      <c r="I29" s="38" t="str">
        <f t="shared" si="3"/>
        <v>Not Started</v>
      </c>
      <c r="J29" s="3"/>
    </row>
    <row r="30" spans="1:10" ht="18" customHeight="1" x14ac:dyDescent="0.45">
      <c r="A30" s="41" t="str">
        <f>'Remediation Index'!A27</f>
        <v>4. User Access Control</v>
      </c>
      <c r="B30" s="41" t="str">
        <f>'Remediation Index'!B27</f>
        <v>PW-01</v>
      </c>
      <c r="C30" s="41" t="str">
        <f>'Remediation Index'!C27</f>
        <v>Brute-force Protection for Passwords</v>
      </c>
      <c r="D30" s="3" t="s">
        <v>192</v>
      </c>
      <c r="E30" s="35">
        <f t="shared" si="0"/>
        <v>46195</v>
      </c>
      <c r="F30" s="35">
        <f t="shared" si="1"/>
        <v>46225</v>
      </c>
      <c r="G30" s="36">
        <f t="shared" si="2"/>
        <v>30</v>
      </c>
      <c r="H30" s="37">
        <v>0</v>
      </c>
      <c r="I30" s="38" t="str">
        <f t="shared" si="3"/>
        <v>Not Started</v>
      </c>
      <c r="J30" s="3"/>
    </row>
    <row r="31" spans="1:10" ht="18" customHeight="1" x14ac:dyDescent="0.45">
      <c r="A31" s="41" t="str">
        <f>'Remediation Index'!A28</f>
        <v>4. User Access Control</v>
      </c>
      <c r="B31" s="41" t="str">
        <f>'Remediation Index'!B28</f>
        <v>PW-02</v>
      </c>
      <c r="C31" s="41" t="str">
        <f>'Remediation Index'!C28</f>
        <v>Technical Password Quality Controls</v>
      </c>
      <c r="D31" s="3" t="s">
        <v>192</v>
      </c>
      <c r="E31" s="35">
        <f t="shared" si="0"/>
        <v>46195</v>
      </c>
      <c r="F31" s="35">
        <f t="shared" si="1"/>
        <v>46225</v>
      </c>
      <c r="G31" s="36">
        <f t="shared" si="2"/>
        <v>30</v>
      </c>
      <c r="H31" s="37">
        <v>0</v>
      </c>
      <c r="I31" s="38" t="str">
        <f t="shared" si="3"/>
        <v>Not Started</v>
      </c>
      <c r="J31" s="3"/>
    </row>
    <row r="32" spans="1:10" ht="18" customHeight="1" x14ac:dyDescent="0.45">
      <c r="A32" s="41" t="str">
        <f>'Remediation Index'!A29</f>
        <v>4. User Access Control</v>
      </c>
      <c r="B32" s="41" t="str">
        <f>'Remediation Index'!B29</f>
        <v>PW-03</v>
      </c>
      <c r="C32" s="41" t="str">
        <f>'Remediation Index'!C29</f>
        <v>User Support for Unique Passwords</v>
      </c>
      <c r="D32" s="3" t="s">
        <v>192</v>
      </c>
      <c r="E32" s="35">
        <f t="shared" si="0"/>
        <v>46195</v>
      </c>
      <c r="F32" s="35">
        <f t="shared" si="1"/>
        <v>46225</v>
      </c>
      <c r="G32" s="36">
        <f t="shared" si="2"/>
        <v>30</v>
      </c>
      <c r="H32" s="37">
        <v>0</v>
      </c>
      <c r="I32" s="38" t="str">
        <f t="shared" si="3"/>
        <v>Not Started</v>
      </c>
      <c r="J32" s="3"/>
    </row>
    <row r="33" spans="1:10" ht="18" customHeight="1" x14ac:dyDescent="0.45">
      <c r="A33" s="41" t="str">
        <f>'Remediation Index'!A30</f>
        <v>4. User Access Control</v>
      </c>
      <c r="B33" s="41" t="str">
        <f>'Remediation Index'!B30</f>
        <v>PW-04</v>
      </c>
      <c r="C33" s="41" t="str">
        <f>'Remediation Index'!C30</f>
        <v>Compromised Password Response Process</v>
      </c>
      <c r="D33" s="3" t="s">
        <v>354</v>
      </c>
      <c r="E33" s="35">
        <f t="shared" si="0"/>
        <v>46195</v>
      </c>
      <c r="F33" s="35">
        <f t="shared" si="1"/>
        <v>46225</v>
      </c>
      <c r="G33" s="36">
        <f t="shared" si="2"/>
        <v>30</v>
      </c>
      <c r="H33" s="37">
        <v>0</v>
      </c>
      <c r="I33" s="38" t="str">
        <f t="shared" si="3"/>
        <v>Not Started</v>
      </c>
      <c r="J33" s="3"/>
    </row>
    <row r="34" spans="1:10" ht="18" customHeight="1" x14ac:dyDescent="0.45">
      <c r="A34" s="42" t="str">
        <f>'Remediation Index'!A31</f>
        <v>5. Malware Protection</v>
      </c>
      <c r="B34" s="42" t="str">
        <f>'Remediation Index'!B31</f>
        <v>MP-01</v>
      </c>
      <c r="C34" s="42" t="str">
        <f>'Remediation Index'!C31</f>
        <v>Active Malware Protection Mechanism</v>
      </c>
      <c r="D34" s="3" t="s">
        <v>354</v>
      </c>
      <c r="E34" s="35">
        <f t="shared" si="0"/>
        <v>46195</v>
      </c>
      <c r="F34" s="35">
        <f t="shared" si="1"/>
        <v>46225</v>
      </c>
      <c r="G34" s="36">
        <f t="shared" si="2"/>
        <v>30</v>
      </c>
      <c r="H34" s="37">
        <v>0</v>
      </c>
      <c r="I34" s="38" t="str">
        <f t="shared" si="3"/>
        <v>Not Started</v>
      </c>
      <c r="J34" s="3"/>
    </row>
    <row r="35" spans="1:10" ht="18" customHeight="1" x14ac:dyDescent="0.45">
      <c r="A35" s="42" t="str">
        <f>'Remediation Index'!A32</f>
        <v>5. Malware Protection</v>
      </c>
      <c r="B35" s="42" t="str">
        <f>'Remediation Index'!B32</f>
        <v>MP-02</v>
      </c>
      <c r="C35" s="42" t="str">
        <f>'Remediation Index'!C32</f>
        <v>Anti-malware Configuration</v>
      </c>
      <c r="D35" s="3" t="s">
        <v>354</v>
      </c>
      <c r="E35" s="35">
        <f t="shared" si="0"/>
        <v>46195</v>
      </c>
      <c r="F35" s="35">
        <f t="shared" si="1"/>
        <v>46225</v>
      </c>
      <c r="G35" s="36">
        <f t="shared" si="2"/>
        <v>30</v>
      </c>
      <c r="H35" s="37">
        <v>0</v>
      </c>
      <c r="I35" s="38" t="str">
        <f t="shared" si="3"/>
        <v>Not Started</v>
      </c>
      <c r="J35" s="3"/>
    </row>
    <row r="36" spans="1:10" ht="18" customHeight="1" x14ac:dyDescent="0.45">
      <c r="A36" s="42" t="str">
        <f>'Remediation Index'!A33</f>
        <v>5. Malware Protection</v>
      </c>
      <c r="B36" s="42" t="str">
        <f>'Remediation Index'!B33</f>
        <v>MP-03</v>
      </c>
      <c r="C36" s="42" t="str">
        <f>'Remediation Index'!C33</f>
        <v>Application Allow Listing Configuration</v>
      </c>
      <c r="D36" s="3" t="s">
        <v>354</v>
      </c>
      <c r="E36" s="35">
        <f t="shared" si="0"/>
        <v>46195</v>
      </c>
      <c r="F36" s="35">
        <f t="shared" si="1"/>
        <v>46225</v>
      </c>
      <c r="G36" s="36">
        <f t="shared" si="2"/>
        <v>30</v>
      </c>
      <c r="H36" s="37">
        <v>0</v>
      </c>
      <c r="I36" s="38" t="str">
        <f t="shared" si="3"/>
        <v>Not Started</v>
      </c>
      <c r="J36" s="3"/>
    </row>
  </sheetData>
  <mergeCells count="26">
    <mergeCell ref="CX3:DD3"/>
    <mergeCell ref="DE3:DK3"/>
    <mergeCell ref="DL3:DR3"/>
    <mergeCell ref="BV3:CB3"/>
    <mergeCell ref="CC3:CI3"/>
    <mergeCell ref="CJ3:CP3"/>
    <mergeCell ref="CQ3:CW3"/>
    <mergeCell ref="BO3:BU3"/>
    <mergeCell ref="A3:J3"/>
    <mergeCell ref="K3:Q3"/>
    <mergeCell ref="R3:X3"/>
    <mergeCell ref="Y3:AE3"/>
    <mergeCell ref="AF3:AL3"/>
    <mergeCell ref="AM3:AS3"/>
    <mergeCell ref="AT3:AZ3"/>
    <mergeCell ref="BA3:BG3"/>
    <mergeCell ref="BH3:BN3"/>
    <mergeCell ref="A1:J1"/>
    <mergeCell ref="G2:J2"/>
    <mergeCell ref="AH2:BL2"/>
    <mergeCell ref="BM2:CQ2"/>
    <mergeCell ref="CR2:DU2"/>
    <mergeCell ref="K1:AG1"/>
    <mergeCell ref="AH1:DU1"/>
    <mergeCell ref="D2:E2"/>
    <mergeCell ref="K2:AG2"/>
  </mergeCells>
  <phoneticPr fontId="50" type="noConversion"/>
  <conditionalFormatting sqref="I5:I36">
    <cfRule type="expression" dxfId="5" priority="4">
      <formula>$I5="Not Started"</formula>
    </cfRule>
    <cfRule type="expression" dxfId="4" priority="5">
      <formula>$I5="In Progress"</formula>
    </cfRule>
    <cfRule type="expression" dxfId="3" priority="6">
      <formula>$I5="Complete"</formula>
    </cfRule>
  </conditionalFormatting>
  <conditionalFormatting sqref="K5:CW36">
    <cfRule type="expression" dxfId="2" priority="2">
      <formula>AND(K$4&gt;=$E5,K$4&lt;=$F5)</formula>
    </cfRule>
  </conditionalFormatting>
  <dataValidations count="1">
    <dataValidation type="decimal" showErrorMessage="1" errorTitle="Invalid value" error="Enter a value between 0 and 1 (e.g. 0.5 for 50%)." sqref="H5:H36" xr:uid="{00000000-0002-0000-0600-000000000000}">
      <formula1>0</formula1>
      <formula2>1</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3" id="{00000000-000E-0000-0600-000003000000}">
            <xm:f>'Remediation Index'!$F2&lt;&gt;"INCLUDE"</xm:f>
            <x14:dxf>
              <font>
                <i/>
                <sz val="9"/>
                <color rgb="FF6B8EAA"/>
                <name val="Arial"/>
                <charset val="1"/>
              </font>
              <fill>
                <patternFill>
                  <bgColor rgb="FFF2F2F2"/>
                </patternFill>
              </fill>
            </x14:dxf>
          </x14:cfRule>
          <xm:sqref>A5:CW36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B8EAA"/>
  </sheetPr>
  <dimension ref="A1:P6"/>
  <sheetViews>
    <sheetView showGridLines="0" topLeftCell="F1" zoomScale="70" zoomScaleNormal="70" workbookViewId="0">
      <pane ySplit="2" topLeftCell="A3" activePane="bottomLeft" state="frozen"/>
      <selection pane="bottomLeft" activeCell="F50" sqref="F50"/>
    </sheetView>
  </sheetViews>
  <sheetFormatPr defaultColWidth="8.6640625" defaultRowHeight="14.25" x14ac:dyDescent="0.45"/>
  <cols>
    <col min="1" max="1" width="8" customWidth="1"/>
    <col min="2" max="2" width="12" customWidth="1"/>
    <col min="3" max="3" width="18" customWidth="1"/>
    <col min="4" max="4" width="28" customWidth="1"/>
    <col min="5" max="5" width="50" customWidth="1"/>
    <col min="6" max="6" width="16.06640625" bestFit="1" customWidth="1"/>
    <col min="7" max="7" width="18" bestFit="1" customWidth="1"/>
    <col min="8" max="8" width="12.6640625" bestFit="1" customWidth="1"/>
    <col min="9" max="9" width="16" bestFit="1" customWidth="1"/>
    <col min="10" max="10" width="12.06640625" bestFit="1" customWidth="1"/>
    <col min="11" max="11" width="11.46484375" bestFit="1" customWidth="1"/>
    <col min="12" max="12" width="28" customWidth="1"/>
    <col min="13" max="13" width="45" customWidth="1"/>
    <col min="14" max="14" width="12" customWidth="1"/>
    <col min="15" max="15" width="19" bestFit="1" customWidth="1"/>
    <col min="16" max="16" width="30" customWidth="1"/>
  </cols>
  <sheetData>
    <row r="1" spans="1:16" ht="36" customHeight="1" x14ac:dyDescent="0.45">
      <c r="A1" s="106" t="s">
        <v>400</v>
      </c>
      <c r="B1" s="106"/>
      <c r="C1" s="106"/>
      <c r="D1" s="106"/>
      <c r="E1" s="106"/>
      <c r="F1" s="106"/>
      <c r="G1" s="106"/>
      <c r="H1" s="106"/>
      <c r="I1" s="106"/>
      <c r="J1" s="106"/>
      <c r="K1" s="106"/>
      <c r="L1" s="106"/>
      <c r="M1" s="106"/>
      <c r="N1" s="106"/>
      <c r="O1" s="106"/>
      <c r="P1" s="106"/>
    </row>
    <row r="2" spans="1:16" ht="36" customHeight="1" x14ac:dyDescent="0.45">
      <c r="A2" s="31" t="s">
        <v>401</v>
      </c>
      <c r="B2" s="31" t="s">
        <v>402</v>
      </c>
      <c r="C2" s="31" t="s">
        <v>403</v>
      </c>
      <c r="D2" s="31" t="s">
        <v>404</v>
      </c>
      <c r="E2" s="31" t="s">
        <v>405</v>
      </c>
      <c r="F2" s="31" t="s">
        <v>406</v>
      </c>
      <c r="G2" s="31" t="s">
        <v>407</v>
      </c>
      <c r="H2" s="31" t="s">
        <v>408</v>
      </c>
      <c r="I2" s="31" t="s">
        <v>409</v>
      </c>
      <c r="J2" s="31" t="s">
        <v>410</v>
      </c>
      <c r="K2" s="31" t="s">
        <v>121</v>
      </c>
      <c r="L2" s="31" t="s">
        <v>411</v>
      </c>
      <c r="M2" s="31" t="s">
        <v>412</v>
      </c>
      <c r="N2" s="31" t="s">
        <v>13</v>
      </c>
      <c r="O2" s="31" t="s">
        <v>413</v>
      </c>
      <c r="P2" s="31" t="s">
        <v>414</v>
      </c>
    </row>
    <row r="3" spans="1:16" ht="39.75" customHeight="1" x14ac:dyDescent="0.45">
      <c r="A3" s="4" t="s">
        <v>415</v>
      </c>
      <c r="B3" s="4" t="s">
        <v>416</v>
      </c>
      <c r="C3" s="4" t="s">
        <v>417</v>
      </c>
      <c r="D3" s="4" t="s">
        <v>418</v>
      </c>
      <c r="E3" s="4" t="s">
        <v>419</v>
      </c>
      <c r="F3" s="3"/>
      <c r="G3" s="4" t="s">
        <v>420</v>
      </c>
      <c r="H3" s="4" t="s">
        <v>421</v>
      </c>
      <c r="I3" s="4" t="s">
        <v>422</v>
      </c>
      <c r="J3" s="4" t="s">
        <v>421</v>
      </c>
      <c r="K3" s="4" t="s">
        <v>423</v>
      </c>
      <c r="L3" s="3" t="s">
        <v>4</v>
      </c>
      <c r="M3" s="3" t="s">
        <v>424</v>
      </c>
      <c r="N3" s="4" t="s">
        <v>425</v>
      </c>
      <c r="O3" s="3"/>
      <c r="P3" s="3"/>
    </row>
    <row r="4" spans="1:16" ht="39.75" customHeight="1" x14ac:dyDescent="0.45">
      <c r="A4" s="4" t="s">
        <v>426</v>
      </c>
      <c r="B4" s="4" t="s">
        <v>427</v>
      </c>
      <c r="C4" s="4" t="s">
        <v>428</v>
      </c>
      <c r="D4" s="4" t="s">
        <v>429</v>
      </c>
      <c r="E4" s="4" t="s">
        <v>430</v>
      </c>
      <c r="F4" s="3"/>
      <c r="G4" s="4" t="s">
        <v>4</v>
      </c>
      <c r="H4" s="4" t="s">
        <v>422</v>
      </c>
      <c r="I4" s="4"/>
      <c r="J4" s="4" t="s">
        <v>422</v>
      </c>
      <c r="K4" s="4"/>
      <c r="L4" s="3" t="s">
        <v>431</v>
      </c>
      <c r="M4" s="3" t="s">
        <v>432</v>
      </c>
      <c r="N4" s="4" t="s">
        <v>425</v>
      </c>
      <c r="O4" s="3"/>
      <c r="P4" s="3"/>
    </row>
    <row r="5" spans="1:16" ht="39.75" customHeight="1" x14ac:dyDescent="0.45">
      <c r="A5" s="4" t="s">
        <v>433</v>
      </c>
      <c r="B5" s="4" t="s">
        <v>434</v>
      </c>
      <c r="C5" s="4" t="s">
        <v>417</v>
      </c>
      <c r="D5" s="4" t="s">
        <v>435</v>
      </c>
      <c r="E5" s="4" t="s">
        <v>436</v>
      </c>
      <c r="F5" s="3"/>
      <c r="G5" s="4" t="s">
        <v>420</v>
      </c>
      <c r="H5" s="4" t="s">
        <v>421</v>
      </c>
      <c r="I5" s="4"/>
      <c r="J5" s="4" t="s">
        <v>421</v>
      </c>
      <c r="K5" s="4"/>
      <c r="L5" s="3" t="s">
        <v>420</v>
      </c>
      <c r="M5" s="3" t="s">
        <v>437</v>
      </c>
      <c r="N5" s="4" t="s">
        <v>425</v>
      </c>
      <c r="O5" s="3"/>
      <c r="P5" s="3"/>
    </row>
    <row r="6" spans="1:16" ht="39.75" customHeight="1" x14ac:dyDescent="0.45">
      <c r="A6" s="4" t="s">
        <v>438</v>
      </c>
      <c r="B6" s="4" t="s">
        <v>439</v>
      </c>
      <c r="C6" s="4" t="s">
        <v>428</v>
      </c>
      <c r="D6" s="4" t="s">
        <v>440</v>
      </c>
      <c r="E6" s="4" t="s">
        <v>441</v>
      </c>
      <c r="F6" s="3"/>
      <c r="G6" s="4" t="s">
        <v>4</v>
      </c>
      <c r="H6" s="4" t="s">
        <v>422</v>
      </c>
      <c r="I6" s="4"/>
      <c r="J6" s="4" t="s">
        <v>422</v>
      </c>
      <c r="K6" s="4"/>
      <c r="L6" s="3" t="s">
        <v>442</v>
      </c>
      <c r="M6" s="3" t="s">
        <v>443</v>
      </c>
      <c r="N6" s="4" t="s">
        <v>425</v>
      </c>
      <c r="O6" s="3"/>
      <c r="P6" s="3"/>
    </row>
  </sheetData>
  <autoFilter ref="A2:P2" xr:uid="{00000000-0009-0000-0000-000005000000}"/>
  <mergeCells count="1">
    <mergeCell ref="A1:P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B8EAA"/>
  </sheetPr>
  <dimension ref="A1:F35"/>
  <sheetViews>
    <sheetView showGridLines="0" zoomScale="80" zoomScaleNormal="80" workbookViewId="0">
      <pane ySplit="1" topLeftCell="A2" activePane="bottomLeft" state="frozen"/>
      <selection pane="bottomLeft" activeCell="A50" sqref="A50"/>
    </sheetView>
  </sheetViews>
  <sheetFormatPr defaultColWidth="8.6640625" defaultRowHeight="14.25" x14ac:dyDescent="0.45"/>
  <cols>
    <col min="1" max="1" width="27.06640625" bestFit="1" customWidth="1"/>
    <col min="2" max="2" width="12.3984375" bestFit="1" customWidth="1"/>
    <col min="3" max="3" width="40" customWidth="1"/>
    <col min="4" max="4" width="31.265625" bestFit="1" customWidth="1"/>
    <col min="5" max="5" width="21.1328125" bestFit="1" customWidth="1"/>
    <col min="6" max="6" width="17.33203125" bestFit="1" customWidth="1"/>
  </cols>
  <sheetData>
    <row r="1" spans="1:6" ht="21.75" customHeight="1" x14ac:dyDescent="0.45">
      <c r="A1" s="43" t="s">
        <v>31</v>
      </c>
      <c r="B1" s="43" t="s">
        <v>118</v>
      </c>
      <c r="C1" s="43" t="s">
        <v>37</v>
      </c>
      <c r="D1" s="43" t="s">
        <v>397</v>
      </c>
      <c r="E1" s="43" t="s">
        <v>461</v>
      </c>
      <c r="F1" s="43" t="s">
        <v>462</v>
      </c>
    </row>
    <row r="2" spans="1:6" ht="19.5" customHeight="1" x14ac:dyDescent="0.45">
      <c r="A2" s="4" t="str">
        <f>'Controls Assessment'!A4</f>
        <v>1. Firewalls</v>
      </c>
      <c r="B2" s="4" t="str">
        <f>'Controls Assessment'!E4</f>
        <v>FW-01</v>
      </c>
      <c r="C2" s="4" t="str">
        <f>'Controls Assessment'!C4</f>
        <v>Firewall Coverage</v>
      </c>
      <c r="D2" s="4" t="str">
        <f>'Controls Assessment'!Q4</f>
        <v>IT / Network Operations</v>
      </c>
      <c r="E2" s="38" t="str">
        <f>'Controls Assessment'!N4</f>
        <v/>
      </c>
      <c r="F2" s="44" t="str">
        <f t="shared" ref="F2:F33" si="0">IF(E2="FAIL","INCLUDE","")</f>
        <v/>
      </c>
    </row>
    <row r="3" spans="1:6" ht="19.5" customHeight="1" x14ac:dyDescent="0.45">
      <c r="A3" s="4" t="str">
        <f>'Controls Assessment'!A5</f>
        <v>1. Firewalls</v>
      </c>
      <c r="B3" s="4" t="str">
        <f>'Controls Assessment'!E5</f>
        <v>FW-02</v>
      </c>
      <c r="C3" s="4" t="str">
        <f>'Controls Assessment'!C5</f>
        <v>Software Firewall on Untrusted Networks</v>
      </c>
      <c r="D3" s="4" t="str">
        <f>'Controls Assessment'!Q5</f>
        <v>IT / Endpoint Management</v>
      </c>
      <c r="E3" s="38" t="str">
        <f>'Controls Assessment'!N5</f>
        <v/>
      </c>
      <c r="F3" s="44" t="str">
        <f t="shared" si="0"/>
        <v/>
      </c>
    </row>
    <row r="4" spans="1:6" ht="19.5" customHeight="1" x14ac:dyDescent="0.45">
      <c r="A4" s="4" t="str">
        <f>'Controls Assessment'!A6</f>
        <v>1. Firewalls</v>
      </c>
      <c r="B4" s="4" t="str">
        <f>'Controls Assessment'!E6</f>
        <v>FW-03</v>
      </c>
      <c r="C4" s="4" t="str">
        <f>'Controls Assessment'!C6</f>
        <v>Default Administrative Password Change</v>
      </c>
      <c r="D4" s="4" t="str">
        <f>'Controls Assessment'!Q6</f>
        <v>IT / Network Operations</v>
      </c>
      <c r="E4" s="38" t="str">
        <f>'Controls Assessment'!N6</f>
        <v/>
      </c>
      <c r="F4" s="44" t="str">
        <f t="shared" si="0"/>
        <v/>
      </c>
    </row>
    <row r="5" spans="1:6" ht="19.5" customHeight="1" x14ac:dyDescent="0.45">
      <c r="A5" s="4" t="str">
        <f>'Controls Assessment'!A7</f>
        <v>1. Firewalls</v>
      </c>
      <c r="B5" s="4" t="str">
        <f>'Controls Assessment'!E7</f>
        <v>FW-04</v>
      </c>
      <c r="C5" s="4" t="str">
        <f>'Controls Assessment'!C7</f>
        <v>Administrative Interface Access Control</v>
      </c>
      <c r="D5" s="4" t="str">
        <f>'Controls Assessment'!Q7</f>
        <v>IT / Network Operations</v>
      </c>
      <c r="E5" s="38" t="str">
        <f>'Controls Assessment'!N7</f>
        <v/>
      </c>
      <c r="F5" s="44" t="str">
        <f t="shared" si="0"/>
        <v/>
      </c>
    </row>
    <row r="6" spans="1:6" ht="19.5" customHeight="1" x14ac:dyDescent="0.45">
      <c r="A6" s="4" t="str">
        <f>'Controls Assessment'!A8</f>
        <v>1. Firewalls</v>
      </c>
      <c r="B6" s="4" t="str">
        <f>'Controls Assessment'!E8</f>
        <v>FW-05</v>
      </c>
      <c r="C6" s="4" t="str">
        <f>'Controls Assessment'!C8</f>
        <v>Block Unauthenticated Inbound Connections</v>
      </c>
      <c r="D6" s="4" t="str">
        <f>'Controls Assessment'!Q8</f>
        <v>IT / Network Operations</v>
      </c>
      <c r="E6" s="38" t="str">
        <f>'Controls Assessment'!N8</f>
        <v/>
      </c>
      <c r="F6" s="44" t="str">
        <f t="shared" si="0"/>
        <v/>
      </c>
    </row>
    <row r="7" spans="1:6" ht="19.5" customHeight="1" x14ac:dyDescent="0.45">
      <c r="A7" s="4" t="str">
        <f>'Controls Assessment'!A9</f>
        <v>1. Firewalls</v>
      </c>
      <c r="B7" s="4" t="str">
        <f>'Controls Assessment'!E9</f>
        <v>FW-06</v>
      </c>
      <c r="C7" s="4" t="str">
        <f>'Controls Assessment'!C9</f>
        <v>Inbound Rule Approval and Documentation</v>
      </c>
      <c r="D7" s="4" t="str">
        <f>'Controls Assessment'!Q9</f>
        <v>IT / Network Operations</v>
      </c>
      <c r="E7" s="38" t="str">
        <f>'Controls Assessment'!N9</f>
        <v/>
      </c>
      <c r="F7" s="44" t="str">
        <f t="shared" si="0"/>
        <v/>
      </c>
    </row>
    <row r="8" spans="1:6" ht="19.5" customHeight="1" x14ac:dyDescent="0.45">
      <c r="A8" s="4" t="str">
        <f>'Controls Assessment'!A10</f>
        <v>1. Firewalls</v>
      </c>
      <c r="B8" s="4" t="str">
        <f>'Controls Assessment'!E10</f>
        <v>FW-07</v>
      </c>
      <c r="C8" s="4" t="str">
        <f>'Controls Assessment'!C10</f>
        <v>Removal of Unnecessary Firewall Rules</v>
      </c>
      <c r="D8" s="4" t="str">
        <f>'Controls Assessment'!Q10</f>
        <v>IT / Network Operations</v>
      </c>
      <c r="E8" s="38" t="str">
        <f>'Controls Assessment'!N10</f>
        <v/>
      </c>
      <c r="F8" s="44" t="str">
        <f t="shared" si="0"/>
        <v/>
      </c>
    </row>
    <row r="9" spans="1:6" ht="19.5" customHeight="1" x14ac:dyDescent="0.45">
      <c r="A9" s="4" t="str">
        <f>'Controls Assessment'!A11</f>
        <v>2. Secure Configuration</v>
      </c>
      <c r="B9" s="4" t="str">
        <f>'Controls Assessment'!E11</f>
        <v>SC-01</v>
      </c>
      <c r="C9" s="4" t="str">
        <f>'Controls Assessment'!C11</f>
        <v>Removal of Unnecessary User Accounts</v>
      </c>
      <c r="D9" s="4" t="str">
        <f>'Controls Assessment'!Q11</f>
        <v>IT / Identity and Access Management</v>
      </c>
      <c r="E9" s="38" t="str">
        <f>'Controls Assessment'!N11</f>
        <v/>
      </c>
      <c r="F9" s="44" t="str">
        <f t="shared" si="0"/>
        <v/>
      </c>
    </row>
    <row r="10" spans="1:6" ht="19.5" customHeight="1" x14ac:dyDescent="0.45">
      <c r="A10" s="4" t="str">
        <f>'Controls Assessment'!A12</f>
        <v>2. Secure Configuration</v>
      </c>
      <c r="B10" s="4" t="str">
        <f>'Controls Assessment'!E12</f>
        <v>SC-02</v>
      </c>
      <c r="C10" s="4" t="str">
        <f>'Controls Assessment'!C12</f>
        <v>Default and Guessable Password Changes</v>
      </c>
      <c r="D10" s="4" t="str">
        <f>'Controls Assessment'!Q12</f>
        <v>IT / Identity and Access Management</v>
      </c>
      <c r="E10" s="38" t="str">
        <f>'Controls Assessment'!N12</f>
        <v/>
      </c>
      <c r="F10" s="44" t="str">
        <f t="shared" si="0"/>
        <v/>
      </c>
    </row>
    <row r="11" spans="1:6" ht="19.5" customHeight="1" x14ac:dyDescent="0.45">
      <c r="A11" s="4" t="str">
        <f>'Controls Assessment'!A13</f>
        <v>2. Secure Configuration</v>
      </c>
      <c r="B11" s="4" t="str">
        <f>'Controls Assessment'!E13</f>
        <v>SC-03</v>
      </c>
      <c r="C11" s="4" t="str">
        <f>'Controls Assessment'!C13</f>
        <v>Removal of Unnecessary Software</v>
      </c>
      <c r="D11" s="4" t="str">
        <f>'Controls Assessment'!Q13</f>
        <v>IT / Endpoint Management</v>
      </c>
      <c r="E11" s="38" t="str">
        <f>'Controls Assessment'!N13</f>
        <v/>
      </c>
      <c r="F11" s="44" t="str">
        <f t="shared" si="0"/>
        <v/>
      </c>
    </row>
    <row r="12" spans="1:6" ht="19.5" customHeight="1" x14ac:dyDescent="0.45">
      <c r="A12" s="4" t="str">
        <f>'Controls Assessment'!A14</f>
        <v>2. Secure Configuration</v>
      </c>
      <c r="B12" s="4" t="str">
        <f>'Controls Assessment'!E14</f>
        <v>SC-04</v>
      </c>
      <c r="C12" s="4" t="str">
        <f>'Controls Assessment'!C14</f>
        <v>Auto-run Disabled</v>
      </c>
      <c r="D12" s="4" t="str">
        <f>'Controls Assessment'!Q14</f>
        <v>IT / Endpoint Management</v>
      </c>
      <c r="E12" s="38" t="str">
        <f>'Controls Assessment'!N14</f>
        <v/>
      </c>
      <c r="F12" s="44" t="str">
        <f t="shared" si="0"/>
        <v/>
      </c>
    </row>
    <row r="13" spans="1:6" ht="19.5" customHeight="1" x14ac:dyDescent="0.45">
      <c r="A13" s="4" t="str">
        <f>'Controls Assessment'!A15</f>
        <v>2. Secure Configuration</v>
      </c>
      <c r="B13" s="4" t="str">
        <f>'Controls Assessment'!E15</f>
        <v>SC-05</v>
      </c>
      <c r="C13" s="4" t="str">
        <f>'Controls Assessment'!C15</f>
        <v>Authentication Before Data Access</v>
      </c>
      <c r="D13" s="4" t="str">
        <f>'Controls Assessment'!Q15</f>
        <v>IT / Identity and Access Management</v>
      </c>
      <c r="E13" s="38" t="str">
        <f>'Controls Assessment'!N15</f>
        <v/>
      </c>
      <c r="F13" s="44" t="str">
        <f t="shared" si="0"/>
        <v/>
      </c>
    </row>
    <row r="14" spans="1:6" ht="19.5" customHeight="1" x14ac:dyDescent="0.45">
      <c r="A14" s="4" t="str">
        <f>'Controls Assessment'!A16</f>
        <v>2. Secure Configuration</v>
      </c>
      <c r="B14" s="4" t="str">
        <f>'Controls Assessment'!E16</f>
        <v>SC-06</v>
      </c>
      <c r="C14" s="4" t="str">
        <f>'Controls Assessment'!C16</f>
        <v>Device Locking Controls</v>
      </c>
      <c r="D14" s="4" t="str">
        <f>'Controls Assessment'!Q16</f>
        <v>IT / Endpoint Management</v>
      </c>
      <c r="E14" s="38" t="str">
        <f>'Controls Assessment'!N16</f>
        <v/>
      </c>
      <c r="F14" s="44" t="str">
        <f t="shared" si="0"/>
        <v/>
      </c>
    </row>
    <row r="15" spans="1:6" ht="19.5" customHeight="1" x14ac:dyDescent="0.45">
      <c r="A15" s="4" t="str">
        <f>'Controls Assessment'!A17</f>
        <v>2. Secure Configuration</v>
      </c>
      <c r="B15" s="4" t="str">
        <f>'Controls Assessment'!E17</f>
        <v>SC-07</v>
      </c>
      <c r="C15" s="4" t="str">
        <f>'Controls Assessment'!C17</f>
        <v>Brute-force Protection for Device Unlock</v>
      </c>
      <c r="D15" s="4" t="str">
        <f>'Controls Assessment'!Q17</f>
        <v>IT / Endpoint Management</v>
      </c>
      <c r="E15" s="38" t="str">
        <f>'Controls Assessment'!N17</f>
        <v/>
      </c>
      <c r="F15" s="44" t="str">
        <f t="shared" si="0"/>
        <v/>
      </c>
    </row>
    <row r="16" spans="1:6" ht="19.5" customHeight="1" x14ac:dyDescent="0.45">
      <c r="A16" s="4" t="str">
        <f>'Controls Assessment'!A18</f>
        <v>2. Secure Configuration</v>
      </c>
      <c r="B16" s="4" t="str">
        <f>'Controls Assessment'!E18</f>
        <v>SC-08</v>
      </c>
      <c r="C16" s="4" t="str">
        <f>'Controls Assessment'!C18</f>
        <v>Minimum Credential Length for Device Unlock</v>
      </c>
      <c r="D16" s="4" t="str">
        <f>'Controls Assessment'!Q18</f>
        <v>IT / Endpoint Management</v>
      </c>
      <c r="E16" s="38" t="str">
        <f>'Controls Assessment'!N18</f>
        <v/>
      </c>
      <c r="F16" s="44" t="str">
        <f t="shared" si="0"/>
        <v/>
      </c>
    </row>
    <row r="17" spans="1:6" ht="19.5" customHeight="1" x14ac:dyDescent="0.45">
      <c r="A17" s="4" t="str">
        <f>'Controls Assessment'!A19</f>
        <v>3. Security Update Management</v>
      </c>
      <c r="B17" s="4" t="str">
        <f>'Controls Assessment'!E19</f>
        <v>SUM-01</v>
      </c>
      <c r="C17" s="4" t="str">
        <f>'Controls Assessment'!C19</f>
        <v>Licensed and Supported Software</v>
      </c>
      <c r="D17" s="4" t="str">
        <f>'Controls Assessment'!Q19</f>
        <v>IT / Asset Management</v>
      </c>
      <c r="E17" s="38" t="str">
        <f>'Controls Assessment'!N19</f>
        <v/>
      </c>
      <c r="F17" s="44" t="str">
        <f t="shared" si="0"/>
        <v/>
      </c>
    </row>
    <row r="18" spans="1:6" ht="19.5" customHeight="1" x14ac:dyDescent="0.45">
      <c r="A18" s="4" t="str">
        <f>'Controls Assessment'!A20</f>
        <v>3. Security Update Management</v>
      </c>
      <c r="B18" s="4" t="str">
        <f>'Controls Assessment'!E20</f>
        <v>SUM-02</v>
      </c>
      <c r="C18" s="4" t="str">
        <f>'Controls Assessment'!C20</f>
        <v>Removal of Unsupported Software</v>
      </c>
      <c r="D18" s="4" t="str">
        <f>'Controls Assessment'!Q20</f>
        <v>IT / Asset Management</v>
      </c>
      <c r="E18" s="38" t="str">
        <f>'Controls Assessment'!N20</f>
        <v/>
      </c>
      <c r="F18" s="44" t="str">
        <f t="shared" si="0"/>
        <v/>
      </c>
    </row>
    <row r="19" spans="1:6" ht="19.5" customHeight="1" x14ac:dyDescent="0.45">
      <c r="A19" s="4" t="str">
        <f>'Controls Assessment'!A21</f>
        <v>3. Security Update Management</v>
      </c>
      <c r="B19" s="4" t="str">
        <f>'Controls Assessment'!E21</f>
        <v>SUM-03</v>
      </c>
      <c r="C19" s="4" t="str">
        <f>'Controls Assessment'!C21</f>
        <v>Automatic Updates Enabled</v>
      </c>
      <c r="D19" s="4" t="str">
        <f>'Controls Assessment'!Q21</f>
        <v>IT / Patch Management</v>
      </c>
      <c r="E19" s="38" t="str">
        <f>'Controls Assessment'!N21</f>
        <v/>
      </c>
      <c r="F19" s="44" t="str">
        <f t="shared" si="0"/>
        <v/>
      </c>
    </row>
    <row r="20" spans="1:6" ht="19.5" customHeight="1" x14ac:dyDescent="0.45">
      <c r="A20" s="4" t="str">
        <f>'Controls Assessment'!A22</f>
        <v>3. Security Update Management</v>
      </c>
      <c r="B20" s="4" t="str">
        <f>'Controls Assessment'!E22</f>
        <v>SUM-04</v>
      </c>
      <c r="C20" s="4" t="str">
        <f>'Controls Assessment'!C22</f>
        <v>Critical Updates Applied Within 14 Days</v>
      </c>
      <c r="D20" s="4" t="str">
        <f>'Controls Assessment'!Q22</f>
        <v>IT / Patch Management</v>
      </c>
      <c r="E20" s="38" t="str">
        <f>'Controls Assessment'!N22</f>
        <v/>
      </c>
      <c r="F20" s="44" t="str">
        <f t="shared" si="0"/>
        <v/>
      </c>
    </row>
    <row r="21" spans="1:6" ht="19.5" customHeight="1" x14ac:dyDescent="0.45">
      <c r="A21" s="4" t="str">
        <f>'Controls Assessment'!A23</f>
        <v>4. User Access Control</v>
      </c>
      <c r="B21" s="4" t="str">
        <f>'Controls Assessment'!E23</f>
        <v>UAC-01</v>
      </c>
      <c r="C21" s="4" t="str">
        <f>'Controls Assessment'!C23</f>
        <v>User Account Approval Process</v>
      </c>
      <c r="D21" s="4" t="str">
        <f>'Controls Assessment'!Q23</f>
        <v>IT / Identity and Access Management</v>
      </c>
      <c r="E21" s="38" t="str">
        <f>'Controls Assessment'!N23</f>
        <v/>
      </c>
      <c r="F21" s="44" t="str">
        <f t="shared" si="0"/>
        <v/>
      </c>
    </row>
    <row r="22" spans="1:6" ht="19.5" customHeight="1" x14ac:dyDescent="0.45">
      <c r="A22" s="4" t="str">
        <f>'Controls Assessment'!A24</f>
        <v>4. User Access Control</v>
      </c>
      <c r="B22" s="4" t="str">
        <f>'Controls Assessment'!E24</f>
        <v>UAC-02</v>
      </c>
      <c r="C22" s="4" t="str">
        <f>'Controls Assessment'!C24</f>
        <v>Unique Credentials for Authentication</v>
      </c>
      <c r="D22" s="4" t="str">
        <f>'Controls Assessment'!Q24</f>
        <v>IT / Identity and Access Management</v>
      </c>
      <c r="E22" s="38" t="str">
        <f>'Controls Assessment'!N24</f>
        <v/>
      </c>
      <c r="F22" s="44" t="str">
        <f t="shared" si="0"/>
        <v/>
      </c>
    </row>
    <row r="23" spans="1:6" ht="19.5" customHeight="1" x14ac:dyDescent="0.45">
      <c r="A23" s="4" t="str">
        <f>'Controls Assessment'!A25</f>
        <v>4. User Access Control</v>
      </c>
      <c r="B23" s="4" t="str">
        <f>'Controls Assessment'!E25</f>
        <v>UAC-03</v>
      </c>
      <c r="C23" s="4" t="str">
        <f>'Controls Assessment'!C25</f>
        <v>Removal of Redundant User Accounts</v>
      </c>
      <c r="D23" s="4" t="str">
        <f>'Controls Assessment'!Q25</f>
        <v>IT / Identity and Access Management</v>
      </c>
      <c r="E23" s="38" t="str">
        <f>'Controls Assessment'!N25</f>
        <v/>
      </c>
      <c r="F23" s="44" t="str">
        <f t="shared" si="0"/>
        <v/>
      </c>
    </row>
    <row r="24" spans="1:6" ht="19.5" customHeight="1" x14ac:dyDescent="0.45">
      <c r="A24" s="4" t="str">
        <f>'Controls Assessment'!A26</f>
        <v>4. User Access Control</v>
      </c>
      <c r="B24" s="4" t="str">
        <f>'Controls Assessment'!E26</f>
        <v>UAC-04</v>
      </c>
      <c r="C24" s="4" t="str">
        <f>'Controls Assessment'!C26</f>
        <v>Multi-factor Authentication</v>
      </c>
      <c r="D24" s="4" t="str">
        <f>'Controls Assessment'!Q26</f>
        <v>IT / Identity and Access Management</v>
      </c>
      <c r="E24" s="38" t="str">
        <f>'Controls Assessment'!N26</f>
        <v/>
      </c>
      <c r="F24" s="44" t="str">
        <f t="shared" si="0"/>
        <v/>
      </c>
    </row>
    <row r="25" spans="1:6" ht="19.5" customHeight="1" x14ac:dyDescent="0.45">
      <c r="A25" s="4" t="str">
        <f>'Controls Assessment'!A27</f>
        <v>4. User Access Control</v>
      </c>
      <c r="B25" s="4" t="str">
        <f>'Controls Assessment'!E27</f>
        <v>UAC-05</v>
      </c>
      <c r="C25" s="4" t="str">
        <f>'Controls Assessment'!C27</f>
        <v>Separate Administrative Accounts</v>
      </c>
      <c r="D25" s="4" t="str">
        <f>'Controls Assessment'!Q27</f>
        <v>IT / Identity and Access Management</v>
      </c>
      <c r="E25" s="38" t="str">
        <f>'Controls Assessment'!N27</f>
        <v/>
      </c>
      <c r="F25" s="44" t="str">
        <f t="shared" si="0"/>
        <v/>
      </c>
    </row>
    <row r="26" spans="1:6" ht="19.5" customHeight="1" x14ac:dyDescent="0.45">
      <c r="A26" s="4" t="str">
        <f>'Controls Assessment'!A28</f>
        <v>4. User Access Control</v>
      </c>
      <c r="B26" s="4" t="str">
        <f>'Controls Assessment'!E28</f>
        <v>UAC-06</v>
      </c>
      <c r="C26" s="4" t="str">
        <f>'Controls Assessment'!C28</f>
        <v>Removal of Unnecessary Privileges</v>
      </c>
      <c r="D26" s="4" t="str">
        <f>'Controls Assessment'!Q28</f>
        <v>IT / Identity and Access Management</v>
      </c>
      <c r="E26" s="38" t="str">
        <f>'Controls Assessment'!N28</f>
        <v/>
      </c>
      <c r="F26" s="44" t="str">
        <f t="shared" si="0"/>
        <v/>
      </c>
    </row>
    <row r="27" spans="1:6" ht="19.5" customHeight="1" x14ac:dyDescent="0.45">
      <c r="A27" s="4" t="str">
        <f>'Controls Assessment'!A29</f>
        <v>4. User Access Control</v>
      </c>
      <c r="B27" s="4" t="str">
        <f>'Controls Assessment'!E29</f>
        <v>PW-01</v>
      </c>
      <c r="C27" s="4" t="str">
        <f>'Controls Assessment'!C29</f>
        <v>Brute-force Protection for Passwords</v>
      </c>
      <c r="D27" s="4" t="str">
        <f>'Controls Assessment'!Q29</f>
        <v>IT / Identity and Access Management</v>
      </c>
      <c r="E27" s="38" t="str">
        <f>'Controls Assessment'!N29</f>
        <v/>
      </c>
      <c r="F27" s="44" t="str">
        <f t="shared" si="0"/>
        <v/>
      </c>
    </row>
    <row r="28" spans="1:6" ht="19.5" customHeight="1" x14ac:dyDescent="0.45">
      <c r="A28" s="4" t="str">
        <f>'Controls Assessment'!A30</f>
        <v>4. User Access Control</v>
      </c>
      <c r="B28" s="4" t="str">
        <f>'Controls Assessment'!E30</f>
        <v>PW-02</v>
      </c>
      <c r="C28" s="4" t="str">
        <f>'Controls Assessment'!C30</f>
        <v>Technical Password Quality Controls</v>
      </c>
      <c r="D28" s="4" t="str">
        <f>'Controls Assessment'!Q30</f>
        <v>IT / Identity and Access Management</v>
      </c>
      <c r="E28" s="38" t="str">
        <f>'Controls Assessment'!N30</f>
        <v/>
      </c>
      <c r="F28" s="44" t="str">
        <f t="shared" si="0"/>
        <v/>
      </c>
    </row>
    <row r="29" spans="1:6" ht="19.5" customHeight="1" x14ac:dyDescent="0.45">
      <c r="A29" s="4" t="str">
        <f>'Controls Assessment'!A31</f>
        <v>4. User Access Control</v>
      </c>
      <c r="B29" s="4" t="str">
        <f>'Controls Assessment'!E31</f>
        <v>PW-03</v>
      </c>
      <c r="C29" s="4" t="str">
        <f>'Controls Assessment'!C31</f>
        <v>User Support for Unique Passwords</v>
      </c>
      <c r="D29" s="4" t="str">
        <f>'Controls Assessment'!Q31</f>
        <v>IT / Identity and Access Management</v>
      </c>
      <c r="E29" s="38" t="str">
        <f>'Controls Assessment'!N31</f>
        <v/>
      </c>
      <c r="F29" s="44" t="str">
        <f t="shared" si="0"/>
        <v/>
      </c>
    </row>
    <row r="30" spans="1:6" ht="19.5" customHeight="1" x14ac:dyDescent="0.45">
      <c r="A30" s="4" t="str">
        <f>'Controls Assessment'!A32</f>
        <v>4. User Access Control</v>
      </c>
      <c r="B30" s="4" t="str">
        <f>'Controls Assessment'!E32</f>
        <v>PW-04</v>
      </c>
      <c r="C30" s="4" t="str">
        <f>'Controls Assessment'!C32</f>
        <v>Compromised Password Response Process</v>
      </c>
      <c r="D30" s="4" t="str">
        <f>'Controls Assessment'!Q32</f>
        <v>IT / Security Operations</v>
      </c>
      <c r="E30" s="38" t="str">
        <f>'Controls Assessment'!N32</f>
        <v/>
      </c>
      <c r="F30" s="44" t="str">
        <f t="shared" si="0"/>
        <v/>
      </c>
    </row>
    <row r="31" spans="1:6" ht="19.5" customHeight="1" x14ac:dyDescent="0.45">
      <c r="A31" s="4" t="str">
        <f>'Controls Assessment'!A33</f>
        <v>5. Malware Protection</v>
      </c>
      <c r="B31" s="4" t="str">
        <f>'Controls Assessment'!E33</f>
        <v>MP-01</v>
      </c>
      <c r="C31" s="4" t="str">
        <f>'Controls Assessment'!C33</f>
        <v>Active Malware Protection Mechanism</v>
      </c>
      <c r="D31" s="4" t="str">
        <f>'Controls Assessment'!Q33</f>
        <v>IT / Security Operations</v>
      </c>
      <c r="E31" s="38" t="str">
        <f>'Controls Assessment'!N33</f>
        <v/>
      </c>
      <c r="F31" s="44" t="str">
        <f t="shared" si="0"/>
        <v/>
      </c>
    </row>
    <row r="32" spans="1:6" ht="19.5" customHeight="1" x14ac:dyDescent="0.45">
      <c r="A32" s="4" t="str">
        <f>'Controls Assessment'!A34</f>
        <v>5. Malware Protection</v>
      </c>
      <c r="B32" s="4" t="str">
        <f>'Controls Assessment'!E34</f>
        <v>MP-02</v>
      </c>
      <c r="C32" s="4" t="str">
        <f>'Controls Assessment'!C34</f>
        <v>Anti-malware Configuration</v>
      </c>
      <c r="D32" s="4" t="str">
        <f>'Controls Assessment'!Q34</f>
        <v>IT / Security Operations</v>
      </c>
      <c r="E32" s="38" t="str">
        <f>'Controls Assessment'!N34</f>
        <v/>
      </c>
      <c r="F32" s="44" t="str">
        <f t="shared" si="0"/>
        <v/>
      </c>
    </row>
    <row r="33" spans="1:6" ht="19.5" customHeight="1" x14ac:dyDescent="0.45">
      <c r="A33" s="4" t="str">
        <f>'Controls Assessment'!A35</f>
        <v>5. Malware Protection</v>
      </c>
      <c r="B33" s="4" t="str">
        <f>'Controls Assessment'!E35</f>
        <v>MP-03</v>
      </c>
      <c r="C33" s="4" t="str">
        <f>'Controls Assessment'!C35</f>
        <v>Application Allow Listing Configuration</v>
      </c>
      <c r="D33" s="4" t="str">
        <f>'Controls Assessment'!Q35</f>
        <v>IT / Security Operations</v>
      </c>
      <c r="E33" s="38" t="str">
        <f>'Controls Assessment'!N35</f>
        <v/>
      </c>
      <c r="F33" s="44" t="str">
        <f t="shared" si="0"/>
        <v/>
      </c>
    </row>
    <row r="35" spans="1:6" ht="36" customHeight="1" x14ac:dyDescent="0.45">
      <c r="A35" s="90" t="s">
        <v>463</v>
      </c>
      <c r="B35" s="90"/>
      <c r="C35" s="90"/>
      <c r="D35" s="90"/>
      <c r="E35" s="90"/>
      <c r="F35" s="90"/>
    </row>
  </sheetData>
  <autoFilter ref="A1:F1" xr:uid="{00000000-0009-0000-0000-000007000000}"/>
  <mergeCells count="1">
    <mergeCell ref="A35:F35"/>
  </mergeCells>
  <conditionalFormatting sqref="E2:E33">
    <cfRule type="expression" dxfId="1" priority="2">
      <formula>$E2="PASS"</formula>
    </cfRule>
    <cfRule type="expression" dxfId="0" priority="3">
      <formula>$E2="FAIL"</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 LICENSE - READ FIRST !!</vt:lpstr>
      <vt:lpstr>Cover</vt:lpstr>
      <vt:lpstr>Instructions</vt:lpstr>
      <vt:lpstr>Scope and Org Context</vt:lpstr>
      <vt:lpstr>Controls Assessment</vt:lpstr>
      <vt:lpstr>Progress Dashboard</vt:lpstr>
      <vt:lpstr>Remediation Plan</vt:lpstr>
      <vt:lpstr>RAID Log</vt:lpstr>
      <vt:lpstr>Remediation Index</vt:lpstr>
    </vt:vector>
  </TitlesOfParts>
  <Company>Cyber Native; cybernative.uk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Cyber Essentials Assessment Workplan</dc:title>
  <dc:subject>UK CE Assessment Workplan</dc:subject>
  <dc:creator>Cyber Native</dc:creator>
  <cp:keywords>Cyber Native</cp:keywords>
  <dc:description>Licensed under CC BY-NC-SA 4.0. Commercial use prohibited. See License tab</dc:description>
  <cp:revision>0</cp:revision>
  <dcterms:created xsi:type="dcterms:W3CDTF">2026-04-05T16:42:28Z</dcterms:created>
  <dcterms:modified xsi:type="dcterms:W3CDTF">2026-06-18T12:14:29Z</dcterms:modified>
  <dc:language>en-US</dc:language>
  <cp:version>1.0</cp:version>
</cp:coreProperties>
</file>